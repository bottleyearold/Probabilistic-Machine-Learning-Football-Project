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" sheetId="1" r:id="rId4"/>
    <sheet state="visible" name="2024-2025" sheetId="2" r:id="rId5"/>
    <sheet state="visible" name="2023-2024" sheetId="3" r:id="rId6"/>
    <sheet state="visible" name="2022-2023" sheetId="4" r:id="rId7"/>
    <sheet state="visible" name="2021-2022" sheetId="5" r:id="rId8"/>
    <sheet state="visible" name="2020-2021" sheetId="6" r:id="rId9"/>
    <sheet state="visible" name="2019-2020" sheetId="7" r:id="rId10"/>
    <sheet state="visible" name="2018-2019" sheetId="8" r:id="rId11"/>
    <sheet state="visible" name="2017-2018" sheetId="9" r:id="rId12"/>
    <sheet state="visible" name="2016-2017" sheetId="10" r:id="rId13"/>
    <sheet state="visible" name="2015-2016" sheetId="11" r:id="rId14"/>
    <sheet state="visible" name="2014-2015" sheetId="12" r:id="rId15"/>
    <sheet state="visible" name="2013-2014" sheetId="13" r:id="rId16"/>
    <sheet state="visible" name="2012-2013" sheetId="14" r:id="rId17"/>
    <sheet state="visible" name="2011-2012" sheetId="15" r:id="rId18"/>
    <sheet state="visible" name="2010-2011" sheetId="16" r:id="rId19"/>
  </sheets>
  <definedNames/>
  <calcPr/>
</workbook>
</file>

<file path=xl/sharedStrings.xml><?xml version="1.0" encoding="utf-8"?>
<sst xmlns="http://schemas.openxmlformats.org/spreadsheetml/2006/main" count="4726" uniqueCount="410">
  <si>
    <t>Team</t>
  </si>
  <si>
    <t>Win-Loss Record</t>
  </si>
  <si>
    <t>Win %</t>
  </si>
  <si>
    <t>MOV</t>
  </si>
  <si>
    <t>ATS +/-</t>
  </si>
  <si>
    <t>Indiana</t>
  </si>
  <si>
    <t>13-0-0</t>
  </si>
  <si>
    <t>Georgia</t>
  </si>
  <si>
    <t>12-1-0</t>
  </si>
  <si>
    <t>Ohio St</t>
  </si>
  <si>
    <t>Texas Tech</t>
  </si>
  <si>
    <t>J Madison</t>
  </si>
  <si>
    <t>Mississippi</t>
  </si>
  <si>
    <t>11-1-0</t>
  </si>
  <si>
    <t>Texas A&amp;M</t>
  </si>
  <si>
    <t>Oregon</t>
  </si>
  <si>
    <t>Tulane</t>
  </si>
  <si>
    <t>11-2-0</t>
  </si>
  <si>
    <t>N Texas</t>
  </si>
  <si>
    <t>BYU</t>
  </si>
  <si>
    <t>Notre Dame</t>
  </si>
  <si>
    <t>10-2-0</t>
  </si>
  <si>
    <t>Vanderbilt</t>
  </si>
  <si>
    <t>Oklahoma</t>
  </si>
  <si>
    <t>Utah</t>
  </si>
  <si>
    <t>Miami</t>
  </si>
  <si>
    <t>Navy</t>
  </si>
  <si>
    <t>9-2-0</t>
  </si>
  <si>
    <t>Alabama</t>
  </si>
  <si>
    <t>10-3-0</t>
  </si>
  <si>
    <t>UNLV</t>
  </si>
  <si>
    <t>Virginia</t>
  </si>
  <si>
    <t>Kennesaw St</t>
  </si>
  <si>
    <t>Michigan</t>
  </si>
  <si>
    <t>9-3-0</t>
  </si>
  <si>
    <t>Texas</t>
  </si>
  <si>
    <t>Houston</t>
  </si>
  <si>
    <t>S Florida</t>
  </si>
  <si>
    <t>New Mexico</t>
  </si>
  <si>
    <t>San Diego St</t>
  </si>
  <si>
    <t>Arizona</t>
  </si>
  <si>
    <t>USC</t>
  </si>
  <si>
    <t>Georgia Tech</t>
  </si>
  <si>
    <t>UConn</t>
  </si>
  <si>
    <t>Old Dominion</t>
  </si>
  <si>
    <t>W Michigan</t>
  </si>
  <si>
    <t>9-4-0</t>
  </si>
  <si>
    <t>Boise St</t>
  </si>
  <si>
    <t>Toledo</t>
  </si>
  <si>
    <t>8-4-0</t>
  </si>
  <si>
    <t>Ohio</t>
  </si>
  <si>
    <t>SMU</t>
  </si>
  <si>
    <t>Hawai'i</t>
  </si>
  <si>
    <t>Fresno St</t>
  </si>
  <si>
    <t>Tennessee</t>
  </si>
  <si>
    <t>Illinois</t>
  </si>
  <si>
    <t>Iowa</t>
  </si>
  <si>
    <t>Iowa St</t>
  </si>
  <si>
    <t>Missouri</t>
  </si>
  <si>
    <t>E Carolina</t>
  </si>
  <si>
    <t>TCU</t>
  </si>
  <si>
    <t>Memphis</t>
  </si>
  <si>
    <t>Louisville</t>
  </si>
  <si>
    <t>Washington</t>
  </si>
  <si>
    <t>Arizona St</t>
  </si>
  <si>
    <t>Wake Forest</t>
  </si>
  <si>
    <t>Pittsburgh</t>
  </si>
  <si>
    <t>W Kentucky</t>
  </si>
  <si>
    <t>Troy</t>
  </si>
  <si>
    <t>8-5-0</t>
  </si>
  <si>
    <t>Duke</t>
  </si>
  <si>
    <t>Jacksonville St</t>
  </si>
  <si>
    <t>C Michigan</t>
  </si>
  <si>
    <t>7-5-0</t>
  </si>
  <si>
    <t>Louisiana Tech</t>
  </si>
  <si>
    <t>LSU</t>
  </si>
  <si>
    <t>Minnesota</t>
  </si>
  <si>
    <t>Nebraska</t>
  </si>
  <si>
    <t>Cincinnati</t>
  </si>
  <si>
    <t>Southern Miss</t>
  </si>
  <si>
    <t>California</t>
  </si>
  <si>
    <t>Clemson</t>
  </si>
  <si>
    <t>NC State</t>
  </si>
  <si>
    <t>Florida Intl</t>
  </si>
  <si>
    <t>Missouri St</t>
  </si>
  <si>
    <t>Army</t>
  </si>
  <si>
    <t>6-5-0</t>
  </si>
  <si>
    <t>Miami OH</t>
  </si>
  <si>
    <t>7-6-0</t>
  </si>
  <si>
    <t>Northwestern</t>
  </si>
  <si>
    <t>6-6-0</t>
  </si>
  <si>
    <t>Penn St</t>
  </si>
  <si>
    <t>Kansas St</t>
  </si>
  <si>
    <t>Louisiana</t>
  </si>
  <si>
    <t>Utah St</t>
  </si>
  <si>
    <t>Arkansas St</t>
  </si>
  <si>
    <t>Washington St</t>
  </si>
  <si>
    <t>Delaware</t>
  </si>
  <si>
    <t>Texas St</t>
  </si>
  <si>
    <t>Georgia So</t>
  </si>
  <si>
    <t>Coastal Car</t>
  </si>
  <si>
    <t>UTSA</t>
  </si>
  <si>
    <t>Akron</t>
  </si>
  <si>
    <t>5-7-0</t>
  </si>
  <si>
    <t>Buffalo</t>
  </si>
  <si>
    <t>Marshall</t>
  </si>
  <si>
    <t>UCF</t>
  </si>
  <si>
    <t>Kent St</t>
  </si>
  <si>
    <t>Rice</t>
  </si>
  <si>
    <t>Kentucky</t>
  </si>
  <si>
    <t>Auburn</t>
  </si>
  <si>
    <t>Mississippi St</t>
  </si>
  <si>
    <t>Kansas</t>
  </si>
  <si>
    <t>Baylor</t>
  </si>
  <si>
    <t>Florida St</t>
  </si>
  <si>
    <t>Temple</t>
  </si>
  <si>
    <t>Rutgers</t>
  </si>
  <si>
    <t>App State</t>
  </si>
  <si>
    <t>E Michigan</t>
  </si>
  <si>
    <t>4-8-0</t>
  </si>
  <si>
    <t>Ball St</t>
  </si>
  <si>
    <t>Bowling Green</t>
  </si>
  <si>
    <t>Tulsa</t>
  </si>
  <si>
    <t>South Carolina</t>
  </si>
  <si>
    <t>Florida</t>
  </si>
  <si>
    <t>Wisconsin</t>
  </si>
  <si>
    <t>Michigan St</t>
  </si>
  <si>
    <t>UAB</t>
  </si>
  <si>
    <t>New Mexico St</t>
  </si>
  <si>
    <t>Air Force</t>
  </si>
  <si>
    <t>Wyoming</t>
  </si>
  <si>
    <t>Stanford</t>
  </si>
  <si>
    <t>North Carolina</t>
  </si>
  <si>
    <t>Maryland</t>
  </si>
  <si>
    <t>West Virginia</t>
  </si>
  <si>
    <t>Florida Atlantic</t>
  </si>
  <si>
    <t>Liberty</t>
  </si>
  <si>
    <t>S Alabama</t>
  </si>
  <si>
    <t>N Illinois</t>
  </si>
  <si>
    <t>3-9-0</t>
  </si>
  <si>
    <t>Nevada</t>
  </si>
  <si>
    <t>San Jose St</t>
  </si>
  <si>
    <t>Colorado</t>
  </si>
  <si>
    <t>UL Monroe</t>
  </si>
  <si>
    <t>Middle Tenn</t>
  </si>
  <si>
    <t>UCLA</t>
  </si>
  <si>
    <t>Virginia Tech</t>
  </si>
  <si>
    <t>Syracuse</t>
  </si>
  <si>
    <t>UTEP</t>
  </si>
  <si>
    <t>2-10-0</t>
  </si>
  <si>
    <t>Arkansas</t>
  </si>
  <si>
    <t>Purdue</t>
  </si>
  <si>
    <t>Colorado St</t>
  </si>
  <si>
    <t>Oregon St</t>
  </si>
  <si>
    <t>Boston College</t>
  </si>
  <si>
    <t>Sam Houston</t>
  </si>
  <si>
    <t>Oklahoma St</t>
  </si>
  <si>
    <t>1-11-0</t>
  </si>
  <si>
    <t>Georgia St</t>
  </si>
  <si>
    <t>Charlotte</t>
  </si>
  <si>
    <t>UMass</t>
  </si>
  <si>
    <t>0-12-0</t>
  </si>
  <si>
    <t>13-1-0</t>
  </si>
  <si>
    <t>92.9%</t>
  </si>
  <si>
    <t>15.4</t>
  </si>
  <si>
    <t>-2.3</t>
  </si>
  <si>
    <t>14-2-0</t>
  </si>
  <si>
    <t>87.5%</t>
  </si>
  <si>
    <t>20.6</t>
  </si>
  <si>
    <t>22.8</t>
  </si>
  <si>
    <t>12-2-0</t>
  </si>
  <si>
    <t>85.7%</t>
  </si>
  <si>
    <t>14.7</t>
  </si>
  <si>
    <t>15.6</t>
  </si>
  <si>
    <t>84.6%</t>
  </si>
  <si>
    <t>25.7</t>
  </si>
  <si>
    <t>11.8</t>
  </si>
  <si>
    <t>11.5</t>
  </si>
  <si>
    <t>13-3-0</t>
  </si>
  <si>
    <t>81.3%</t>
  </si>
  <si>
    <t>16.6</t>
  </si>
  <si>
    <t>17.7</t>
  </si>
  <si>
    <t>11-3-0</t>
  </si>
  <si>
    <t>78.6%</t>
  </si>
  <si>
    <t>11.1</t>
  </si>
  <si>
    <t>14.4</t>
  </si>
  <si>
    <t>10.9</t>
  </si>
  <si>
    <t>-4.7</t>
  </si>
  <si>
    <t>8.1</t>
  </si>
  <si>
    <t>-0.5</t>
  </si>
  <si>
    <t>14.1</t>
  </si>
  <si>
    <t>10.4</t>
  </si>
  <si>
    <t>76.9%</t>
  </si>
  <si>
    <t>8.8</t>
  </si>
  <si>
    <t>9.2</t>
  </si>
  <si>
    <t>19.6</t>
  </si>
  <si>
    <t>24.2</t>
  </si>
  <si>
    <t>6.6</t>
  </si>
  <si>
    <t>8.5</t>
  </si>
  <si>
    <t>-1.1</t>
  </si>
  <si>
    <t>18.6</t>
  </si>
  <si>
    <t>4.9</t>
  </si>
  <si>
    <t>3.3</t>
  </si>
  <si>
    <t>10-4-0</t>
  </si>
  <si>
    <t>71.4%</t>
  </si>
  <si>
    <t>6.8</t>
  </si>
  <si>
    <t>-0.9</t>
  </si>
  <si>
    <t>11.3</t>
  </si>
  <si>
    <t>-0.8</t>
  </si>
  <si>
    <t>69.2%</t>
  </si>
  <si>
    <t>2.5</t>
  </si>
  <si>
    <t>12.4</t>
  </si>
  <si>
    <t>6.2</t>
  </si>
  <si>
    <t>-2.1</t>
  </si>
  <si>
    <t>16.4</t>
  </si>
  <si>
    <t>-1.2</t>
  </si>
  <si>
    <t>7.5</t>
  </si>
  <si>
    <t>-1.5</t>
  </si>
  <si>
    <t>9.8</t>
  </si>
  <si>
    <t>1.8</t>
  </si>
  <si>
    <t>12.8</t>
  </si>
  <si>
    <t>66.7%</t>
  </si>
  <si>
    <t>5.3</t>
  </si>
  <si>
    <t>-8.8</t>
  </si>
  <si>
    <t>9-5-0</t>
  </si>
  <si>
    <t>64.3%</t>
  </si>
  <si>
    <t>9.9</t>
  </si>
  <si>
    <t>61.5%</t>
  </si>
  <si>
    <t>6</t>
  </si>
  <si>
    <t>5.1</t>
  </si>
  <si>
    <t>5.2</t>
  </si>
  <si>
    <t>2.1</t>
  </si>
  <si>
    <t>8.2</t>
  </si>
  <si>
    <t>-3.4</t>
  </si>
  <si>
    <t>2.8</t>
  </si>
  <si>
    <t>-0.3</t>
  </si>
  <si>
    <t>7.7</t>
  </si>
  <si>
    <t>4.7</t>
  </si>
  <si>
    <t>-6.3</t>
  </si>
  <si>
    <t>-2.2</t>
  </si>
  <si>
    <t>-1.4</t>
  </si>
  <si>
    <t>6.7</t>
  </si>
  <si>
    <t>12</t>
  </si>
  <si>
    <t>0.4</t>
  </si>
  <si>
    <t>8-6-0</t>
  </si>
  <si>
    <t>57.1%</t>
  </si>
  <si>
    <t>0.3</t>
  </si>
  <si>
    <t>-2.7</t>
  </si>
  <si>
    <t>53.9%</t>
  </si>
  <si>
    <t>5.5</t>
  </si>
  <si>
    <t>0.8</t>
  </si>
  <si>
    <t>3.9</t>
  </si>
  <si>
    <t>5.9</t>
  </si>
  <si>
    <t>4.1</t>
  </si>
  <si>
    <t>-0.6</t>
  </si>
  <si>
    <t>2.4</t>
  </si>
  <si>
    <t>6.1</t>
  </si>
  <si>
    <t>4.5</t>
  </si>
  <si>
    <t>4.4</t>
  </si>
  <si>
    <t>3.5</t>
  </si>
  <si>
    <t>3.1</t>
  </si>
  <si>
    <t>6-7-0</t>
  </si>
  <si>
    <t>46.2%</t>
  </si>
  <si>
    <t>-2.4</t>
  </si>
  <si>
    <t>-2.5</t>
  </si>
  <si>
    <t>1.2</t>
  </si>
  <si>
    <t>-0.4</t>
  </si>
  <si>
    <t>-3.5</t>
  </si>
  <si>
    <t>-1</t>
  </si>
  <si>
    <t>-1.6</t>
  </si>
  <si>
    <t>-4.5</t>
  </si>
  <si>
    <t>-2.8</t>
  </si>
  <si>
    <t>-2.9</t>
  </si>
  <si>
    <t>-3</t>
  </si>
  <si>
    <t>5-6-0</t>
  </si>
  <si>
    <t>45.5%</t>
  </si>
  <si>
    <t>-6.9</t>
  </si>
  <si>
    <t>41.7%</t>
  </si>
  <si>
    <t>-2</t>
  </si>
  <si>
    <t>-3.7</t>
  </si>
  <si>
    <t>6.4</t>
  </si>
  <si>
    <t>-1.3</t>
  </si>
  <si>
    <t>-6.8</t>
  </si>
  <si>
    <t>-6.2</t>
  </si>
  <si>
    <t>3.7</t>
  </si>
  <si>
    <t>0.6</t>
  </si>
  <si>
    <t>-7.8</t>
  </si>
  <si>
    <t>-4.3</t>
  </si>
  <si>
    <t>-1.8</t>
  </si>
  <si>
    <t>2.9</t>
  </si>
  <si>
    <t>-5.7</t>
  </si>
  <si>
    <t>-4.8</t>
  </si>
  <si>
    <t>-6.1</t>
  </si>
  <si>
    <t>0</t>
  </si>
  <si>
    <t>-11.4</t>
  </si>
  <si>
    <t>-3.2</t>
  </si>
  <si>
    <t>5-8-0</t>
  </si>
  <si>
    <t>38.5%</t>
  </si>
  <si>
    <t>-0.1</t>
  </si>
  <si>
    <t>33.3%</t>
  </si>
  <si>
    <t>-7.1</t>
  </si>
  <si>
    <t>-11.6</t>
  </si>
  <si>
    <t>-3.3</t>
  </si>
  <si>
    <t>-1.7</t>
  </si>
  <si>
    <t>-8.5</t>
  </si>
  <si>
    <t>-8.9</t>
  </si>
  <si>
    <t>-5.8</t>
  </si>
  <si>
    <t>-10</t>
  </si>
  <si>
    <t>-13.3</t>
  </si>
  <si>
    <t>-5.6</t>
  </si>
  <si>
    <t>25.0%</t>
  </si>
  <si>
    <t>-14.8</t>
  </si>
  <si>
    <t>-17.5</t>
  </si>
  <si>
    <t>-12.5</t>
  </si>
  <si>
    <t>-12.8</t>
  </si>
  <si>
    <t>-8.4</t>
  </si>
  <si>
    <t>-7.3</t>
  </si>
  <si>
    <t>-8.1</t>
  </si>
  <si>
    <t>-16.2</t>
  </si>
  <si>
    <t>-14.7</t>
  </si>
  <si>
    <t>-9</t>
  </si>
  <si>
    <t>-8.3</t>
  </si>
  <si>
    <t>-10.8</t>
  </si>
  <si>
    <t>-15.8</t>
  </si>
  <si>
    <t>-4.4</t>
  </si>
  <si>
    <t>3-10-0</t>
  </si>
  <si>
    <t>23.1%</t>
  </si>
  <si>
    <t>16.7%</t>
  </si>
  <si>
    <t>-12.6</t>
  </si>
  <si>
    <t>-13</t>
  </si>
  <si>
    <t>-3.1</t>
  </si>
  <si>
    <t>8.3%</t>
  </si>
  <si>
    <t>-24.2</t>
  </si>
  <si>
    <t>-11.2</t>
  </si>
  <si>
    <t>-22.5</t>
  </si>
  <si>
    <t>0.0%</t>
  </si>
  <si>
    <t>-30.2</t>
  </si>
  <si>
    <t>-9.4</t>
  </si>
  <si>
    <t>0-1-0</t>
  </si>
  <si>
    <t>-8</t>
  </si>
  <si>
    <t>-5</t>
  </si>
  <si>
    <t>15-0-0</t>
  </si>
  <si>
    <t>14-1-0</t>
  </si>
  <si>
    <t>10-5-0</t>
  </si>
  <si>
    <t>1-0-0</t>
  </si>
  <si>
    <t>13-2-0</t>
  </si>
  <si>
    <t>8-3-0</t>
  </si>
  <si>
    <t>7-7-0</t>
  </si>
  <si>
    <t>3-7-0</t>
  </si>
  <si>
    <t>3-8-0</t>
  </si>
  <si>
    <t>1-1-0</t>
  </si>
  <si>
    <t>10-1-0</t>
  </si>
  <si>
    <t>9-1-0</t>
  </si>
  <si>
    <t>7-1-0</t>
  </si>
  <si>
    <t>6-1-0</t>
  </si>
  <si>
    <t>5-1-0</t>
  </si>
  <si>
    <t>8-2-0</t>
  </si>
  <si>
    <t>7-2-0</t>
  </si>
  <si>
    <t>3-1-0</t>
  </si>
  <si>
    <t>6-2-0</t>
  </si>
  <si>
    <t>5-2-0</t>
  </si>
  <si>
    <t>7-3-0</t>
  </si>
  <si>
    <t>4-2-0</t>
  </si>
  <si>
    <t>2-1-0</t>
  </si>
  <si>
    <t>6-3-0</t>
  </si>
  <si>
    <t>6-4-0</t>
  </si>
  <si>
    <t>3-2-0</t>
  </si>
  <si>
    <t>4-3-0</t>
  </si>
  <si>
    <t>5-4-0</t>
  </si>
  <si>
    <t>3-3-0</t>
  </si>
  <si>
    <t>5-5-0</t>
  </si>
  <si>
    <t>4-4-0</t>
  </si>
  <si>
    <t>2-2-0</t>
  </si>
  <si>
    <t>4-5-0</t>
  </si>
  <si>
    <t>3-4-0</t>
  </si>
  <si>
    <t>2-3-0</t>
  </si>
  <si>
    <t>4-6-0</t>
  </si>
  <si>
    <t>3-5-0</t>
  </si>
  <si>
    <t>4-7-0</t>
  </si>
  <si>
    <t>2-4-0</t>
  </si>
  <si>
    <t>3-6-0</t>
  </si>
  <si>
    <t>2-5-0</t>
  </si>
  <si>
    <t>2-6-0</t>
  </si>
  <si>
    <t>1-3-0</t>
  </si>
  <si>
    <t>2-7-0</t>
  </si>
  <si>
    <t>2-8-0</t>
  </si>
  <si>
    <t>2-9-0</t>
  </si>
  <si>
    <t>1-5-0</t>
  </si>
  <si>
    <t>1-6-0</t>
  </si>
  <si>
    <t>1-8-0</t>
  </si>
  <si>
    <t>1-10-0</t>
  </si>
  <si>
    <t>0-6-0</t>
  </si>
  <si>
    <t>0-5-0</t>
  </si>
  <si>
    <t>0-9-0</t>
  </si>
  <si>
    <t>0-10-0</t>
  </si>
  <si>
    <t>0-4-0</t>
  </si>
  <si>
    <t>2-11-0</t>
  </si>
  <si>
    <r>
      <rPr>
        <rFont val="&quot;Helvetica Neue&quot;, Helvetica, Arial, sans-serif"/>
        <color rgb="FF1155CC"/>
        <sz val="11.0"/>
        <u/>
      </rPr>
      <t>Missouri St</t>
    </r>
  </si>
  <si>
    <r>
      <rPr>
        <rFont val="&quot;Helvetica Neue&quot;, Helvetica, Arial, sans-serif"/>
        <color rgb="FF1155CC"/>
        <sz val="11.0"/>
        <u/>
      </rPr>
      <t>Kennesaw St</t>
    </r>
  </si>
  <si>
    <t>4-9-0</t>
  </si>
  <si>
    <r>
      <rPr>
        <rFont val="&quot;Helvetica Neue&quot;, Helvetica, Arial, sans-serif"/>
        <color rgb="FF1155CC"/>
        <sz val="11.0"/>
        <u/>
      </rPr>
      <t>Kennesaw St</t>
    </r>
  </si>
  <si>
    <t>0-2-0</t>
  </si>
  <si>
    <r>
      <rPr>
        <rFont val="&quot;Helvetica Neue&quot;, Helvetica, Arial, sans-serif"/>
        <color rgb="FF1155CC"/>
        <sz val="11.0"/>
        <u/>
      </rPr>
      <t>Jacksonville St</t>
    </r>
  </si>
  <si>
    <r>
      <rPr>
        <rFont val="&quot;Helvetica Neue&quot;, Helvetica, Arial, sans-serif"/>
        <color rgb="FF1155CC"/>
        <sz val="11.0"/>
        <u/>
      </rPr>
      <t>Missouri St</t>
    </r>
  </si>
  <si>
    <r>
      <rPr>
        <rFont val="&quot;Helvetica Neue&quot;, Helvetica, Arial, sans-serif"/>
        <color rgb="FF1155CC"/>
        <sz val="11.0"/>
        <u/>
      </rPr>
      <t>Kennesaw St</t>
    </r>
  </si>
  <si>
    <t>6-8-0</t>
  </si>
  <si>
    <t>14-0-0</t>
  </si>
  <si>
    <t>1-4-0</t>
  </si>
  <si>
    <t>12-0-0</t>
  </si>
  <si>
    <t>1-12-0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</si>
</sst>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0000FF"/>
      <name val="&quot;Helvetica Neue&quot;"/>
    </font>
    <font>
      <sz val="11.0"/>
      <color rgb="FF222222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EFEFE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2" numFmtId="49" xfId="0" applyFont="1" applyNumberFormat="1"/>
    <xf borderId="0" fillId="0" fontId="1" numFmtId="0" xfId="0" applyFont="1"/>
    <xf borderId="0" fillId="0" fontId="3" numFmtId="0" xfId="0" applyFont="1"/>
    <xf borderId="0" fillId="0" fontId="1" numFmtId="10" xfId="0" applyFont="1" applyNumberFormat="1"/>
    <xf borderId="1" fillId="0" fontId="4" numFmtId="0" xfId="0" applyAlignment="1" applyBorder="1" applyFont="1">
      <alignment readingOrder="0" shrinkToFit="0" wrapText="0"/>
    </xf>
    <xf borderId="1" fillId="2" fontId="5" numFmtId="49" xfId="0" applyAlignment="1" applyBorder="1" applyFill="1" applyFont="1" applyNumberFormat="1">
      <alignment horizontal="right" readingOrder="0"/>
    </xf>
    <xf borderId="1" fillId="2" fontId="5" numFmtId="10" xfId="0" applyAlignment="1" applyBorder="1" applyFont="1" applyNumberFormat="1">
      <alignment horizontal="right" readingOrder="0"/>
    </xf>
    <xf borderId="1" fillId="2" fontId="5" numFmtId="0" xfId="0" applyAlignment="1" applyBorder="1" applyFont="1">
      <alignment horizontal="right" readingOrder="0"/>
    </xf>
    <xf borderId="1" fillId="2" fontId="5" numFmtId="0" xfId="0" applyAlignment="1" applyBorder="1" applyFont="1">
      <alignment horizontal="right"/>
    </xf>
    <xf borderId="1" fillId="2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miami-oh-redhawks" TargetMode="External"/><Relationship Id="rId42" Type="http://schemas.openxmlformats.org/officeDocument/2006/relationships/hyperlink" Target="https://www.teamrankings.com/college-football/team/jacksonville-state-gamecocks" TargetMode="External"/><Relationship Id="rId41" Type="http://schemas.openxmlformats.org/officeDocument/2006/relationships/hyperlink" Target="https://www.teamrankings.com/college-football/team/tulane-green-wave" TargetMode="External"/><Relationship Id="rId44" Type="http://schemas.openxmlformats.org/officeDocument/2006/relationships/hyperlink" Target="https://www.teamrankings.com/college-football/team/toledo-rockets" TargetMode="External"/><Relationship Id="rId43" Type="http://schemas.openxmlformats.org/officeDocument/2006/relationships/hyperlink" Target="https://www.teamrankings.com/college-football/team/northern-illinois-huskies" TargetMode="External"/><Relationship Id="rId46" Type="http://schemas.openxmlformats.org/officeDocument/2006/relationships/hyperlink" Target="https://www.teamrankings.com/college-football/team/minnesota-golden-gophers" TargetMode="External"/><Relationship Id="rId45" Type="http://schemas.openxmlformats.org/officeDocument/2006/relationships/hyperlink" Target="https://www.teamrankings.com/college-football/team/florida-gators" TargetMode="External"/><Relationship Id="rId107" Type="http://schemas.openxmlformats.org/officeDocument/2006/relationships/hyperlink" Target="https://www.teamrankings.com/college-football/team/houston-cougars" TargetMode="External"/><Relationship Id="rId106" Type="http://schemas.openxmlformats.org/officeDocument/2006/relationships/hyperlink" Target="https://www.teamrankings.com/college-football/team/northwestern-wildcats" TargetMode="External"/><Relationship Id="rId105" Type="http://schemas.openxmlformats.org/officeDocument/2006/relationships/hyperlink" Target="https://www.teamrankings.com/college-football/team/kentucky-wildcats" TargetMode="External"/><Relationship Id="rId104" Type="http://schemas.openxmlformats.org/officeDocument/2006/relationships/hyperlink" Target="https://www.teamrankings.com/college-football/team/rice-owls" TargetMode="External"/><Relationship Id="rId109" Type="http://schemas.openxmlformats.org/officeDocument/2006/relationships/hyperlink" Target="https://www.teamrankings.com/college-football/team/troy-trojans" TargetMode="External"/><Relationship Id="rId108" Type="http://schemas.openxmlformats.org/officeDocument/2006/relationships/hyperlink" Target="https://www.teamrankings.com/college-football/team/utah-state-aggies" TargetMode="External"/><Relationship Id="rId48" Type="http://schemas.openxmlformats.org/officeDocument/2006/relationships/hyperlink" Target="https://www.teamrankings.com/college-football/team/iowa-hawkeyes" TargetMode="External"/><Relationship Id="rId47" Type="http://schemas.openxmlformats.org/officeDocument/2006/relationships/hyperlink" Target="https://www.teamrankings.com/college-football/team/michigan-wolverines" TargetMode="External"/><Relationship Id="rId49" Type="http://schemas.openxmlformats.org/officeDocument/2006/relationships/hyperlink" Target="https://www.teamrankings.com/college-football/team/texas-am-aggies" TargetMode="External"/><Relationship Id="rId103" Type="http://schemas.openxmlformats.org/officeDocument/2006/relationships/hyperlink" Target="https://www.teamrankings.com/college-football/team/ucf-knights" TargetMode="External"/><Relationship Id="rId102" Type="http://schemas.openxmlformats.org/officeDocument/2006/relationships/hyperlink" Target="https://www.teamrankings.com/college-football/team/akron-zips" TargetMode="External"/><Relationship Id="rId101" Type="http://schemas.openxmlformats.org/officeDocument/2006/relationships/hyperlink" Target="https://www.teamrankings.com/college-football/team/central-michigan-chippewas" TargetMode="External"/><Relationship Id="rId100" Type="http://schemas.openxmlformats.org/officeDocument/2006/relationships/hyperlink" Target="https://www.teamrankings.com/college-football/team/louisiana-tech-bulldogs" TargetMode="External"/><Relationship Id="rId31" Type="http://schemas.openxmlformats.org/officeDocument/2006/relationships/hyperlink" Target="https://www.teamrankings.com/college-football/team/alabama-crimson-tide" TargetMode="External"/><Relationship Id="rId30" Type="http://schemas.openxmlformats.org/officeDocument/2006/relationships/hyperlink" Target="https://www.teamrankings.com/college-football/team/louisiana-state-tigers" TargetMode="External"/><Relationship Id="rId33" Type="http://schemas.openxmlformats.org/officeDocument/2006/relationships/hyperlink" Target="https://www.teamrankings.com/college-football/team/colorado-buffaloes" TargetMode="External"/><Relationship Id="rId32" Type="http://schemas.openxmlformats.org/officeDocument/2006/relationships/hyperlink" Target="https://www.teamrankings.com/college-football/team/kansas-state-wildcats" TargetMode="External"/><Relationship Id="rId35" Type="http://schemas.openxmlformats.org/officeDocument/2006/relationships/hyperlink" Target="https://www.teamrankings.com/college-football/team/louisville-cardinals" TargetMode="External"/><Relationship Id="rId34" Type="http://schemas.openxmlformats.org/officeDocument/2006/relationships/hyperlink" Target="https://www.teamrankings.com/college-football/team/tcu-horned-frogs" TargetMode="External"/><Relationship Id="rId37" Type="http://schemas.openxmlformats.org/officeDocument/2006/relationships/hyperlink" Target="https://www.teamrankings.com/college-football/team/connecticut-huskies" TargetMode="External"/><Relationship Id="rId36" Type="http://schemas.openxmlformats.org/officeDocument/2006/relationships/hyperlink" Target="https://www.teamrankings.com/college-football/team/duke-blue-devils" TargetMode="External"/><Relationship Id="rId39" Type="http://schemas.openxmlformats.org/officeDocument/2006/relationships/hyperlink" Target="https://www.teamrankings.com/college-football/team/liberty-flames" TargetMode="External"/><Relationship Id="rId38" Type="http://schemas.openxmlformats.org/officeDocument/2006/relationships/hyperlink" Target="https://www.teamrankings.com/college-football/team/james-madison-dukes" TargetMode="External"/><Relationship Id="rId20" Type="http://schemas.openxmlformats.org/officeDocument/2006/relationships/hyperlink" Target="https://www.teamrankings.com/college-football/team/mississippi-rebels" TargetMode="External"/><Relationship Id="rId22" Type="http://schemas.openxmlformats.org/officeDocument/2006/relationships/hyperlink" Target="https://www.teamrankings.com/college-football/team/missouri-tigers" TargetMode="External"/><Relationship Id="rId21" Type="http://schemas.openxmlformats.org/officeDocument/2006/relationships/hyperlink" Target="https://www.teamrankings.com/college-football/team/illinois-fighting-illini" TargetMode="External"/><Relationship Id="rId24" Type="http://schemas.openxmlformats.org/officeDocument/2006/relationships/hyperlink" Target="https://www.teamrankings.com/college-football/team/syracuse-orange" TargetMode="External"/><Relationship Id="rId23" Type="http://schemas.openxmlformats.org/officeDocument/2006/relationships/hyperlink" Target="https://www.teamrankings.com/college-football/team/miami-hurricanes" TargetMode="External"/><Relationship Id="rId129" Type="http://schemas.openxmlformats.org/officeDocument/2006/relationships/hyperlink" Target="https://www.teamrankings.com/college-football/team/florida-state-seminoles" TargetMode="External"/><Relationship Id="rId128" Type="http://schemas.openxmlformats.org/officeDocument/2006/relationships/hyperlink" Target="https://www.teamrankings.com/college-football/team/mississippi-state-bulldogs" TargetMode="External"/><Relationship Id="rId127" Type="http://schemas.openxmlformats.org/officeDocument/2006/relationships/hyperlink" Target="https://www.teamrankings.com/college-football/team/nevada-wolf-pack" TargetMode="External"/><Relationship Id="rId126" Type="http://schemas.openxmlformats.org/officeDocument/2006/relationships/hyperlink" Target="https://www.teamrankings.com/college-football/team/georgia-state-panthers" TargetMode="External"/><Relationship Id="rId26" Type="http://schemas.openxmlformats.org/officeDocument/2006/relationships/hyperlink" Target="https://www.teamrankings.com/college-football/team/louisiana-ragin-cajuns" TargetMode="External"/><Relationship Id="rId121" Type="http://schemas.openxmlformats.org/officeDocument/2006/relationships/hyperlink" Target="https://www.teamrankings.com/college-football/team/wyoming-cowboys" TargetMode="External"/><Relationship Id="rId25" Type="http://schemas.openxmlformats.org/officeDocument/2006/relationships/hyperlink" Target="https://www.teamrankings.com/college-football/team/sam-houston-bearkats" TargetMode="External"/><Relationship Id="rId120" Type="http://schemas.openxmlformats.org/officeDocument/2006/relationships/hyperlink" Target="https://www.teamrankings.com/college-football/team/new-mexico-state-aggies" TargetMode="External"/><Relationship Id="rId28" Type="http://schemas.openxmlformats.org/officeDocument/2006/relationships/hyperlink" Target="https://www.teamrankings.com/college-football/team/buffalo-bulls" TargetMode="External"/><Relationship Id="rId27" Type="http://schemas.openxmlformats.org/officeDocument/2006/relationships/hyperlink" Target="https://www.teamrankings.com/college-football/team/clemson-tigers" TargetMode="External"/><Relationship Id="rId125" Type="http://schemas.openxmlformats.org/officeDocument/2006/relationships/hyperlink" Target="https://www.teamrankings.com/college-football/team/florida-atlantic-owls" TargetMode="External"/><Relationship Id="rId29" Type="http://schemas.openxmlformats.org/officeDocument/2006/relationships/hyperlink" Target="https://www.teamrankings.com/college-football/team/south-carolina-gamecocks" TargetMode="External"/><Relationship Id="rId124" Type="http://schemas.openxmlformats.org/officeDocument/2006/relationships/hyperlink" Target="https://www.teamrankings.com/college-football/team/temple-owls" TargetMode="External"/><Relationship Id="rId123" Type="http://schemas.openxmlformats.org/officeDocument/2006/relationships/hyperlink" Target="https://www.teamrankings.com/college-football/team/stanford-cardinal" TargetMode="External"/><Relationship Id="rId122" Type="http://schemas.openxmlformats.org/officeDocument/2006/relationships/hyperlink" Target="https://www.teamrankings.com/college-football/team/san-diego-state-aztecs" TargetMode="External"/><Relationship Id="rId95" Type="http://schemas.openxmlformats.org/officeDocument/2006/relationships/hyperlink" Target="https://www.teamrankings.com/college-football/team/oregon-state-beavers" TargetMode="External"/><Relationship Id="rId94" Type="http://schemas.openxmlformats.org/officeDocument/2006/relationships/hyperlink" Target="https://www.teamrankings.com/college-football/team/utah-utes" TargetMode="External"/><Relationship Id="rId97" Type="http://schemas.openxmlformats.org/officeDocument/2006/relationships/hyperlink" Target="https://www.teamrankings.com/college-football/team/virginia-cavaliers" TargetMode="External"/><Relationship Id="rId96" Type="http://schemas.openxmlformats.org/officeDocument/2006/relationships/hyperlink" Target="https://www.teamrankings.com/college-football/team/ucla-bruins" TargetMode="External"/><Relationship Id="rId11" Type="http://schemas.openxmlformats.org/officeDocument/2006/relationships/hyperlink" Target="https://www.teamrankings.com/college-football/team/ohio-bobcats" TargetMode="External"/><Relationship Id="rId99" Type="http://schemas.openxmlformats.org/officeDocument/2006/relationships/hyperlink" Target="https://www.teamrankings.com/college-football/team/charlotte-49ers" TargetMode="External"/><Relationship Id="rId10" Type="http://schemas.openxmlformats.org/officeDocument/2006/relationships/hyperlink" Target="https://www.teamrankings.com/college-football/team/texas-longhorns" TargetMode="External"/><Relationship Id="rId98" Type="http://schemas.openxmlformats.org/officeDocument/2006/relationships/hyperlink" Target="https://www.teamrankings.com/college-football/team/old-dominion-monarchs" TargetMode="External"/><Relationship Id="rId13" Type="http://schemas.openxmlformats.org/officeDocument/2006/relationships/hyperlink" Target="https://www.teamrankings.com/college-football/team/georgia-bulldogs" TargetMode="External"/><Relationship Id="rId12" Type="http://schemas.openxmlformats.org/officeDocument/2006/relationships/hyperlink" Target="https://www.teamrankings.com/college-football/team/smu-mustangs" TargetMode="External"/><Relationship Id="rId91" Type="http://schemas.openxmlformats.org/officeDocument/2006/relationships/hyperlink" Target="https://www.teamrankings.com/college-football/team/ul-monroe-warhawks" TargetMode="External"/><Relationship Id="rId90" Type="http://schemas.openxmlformats.org/officeDocument/2006/relationships/hyperlink" Target="https://www.teamrankings.com/college-football/team/cincinnati-bearcats" TargetMode="External"/><Relationship Id="rId93" Type="http://schemas.openxmlformats.org/officeDocument/2006/relationships/hyperlink" Target="https://www.teamrankings.com/college-football/team/new-mexico-lobos" TargetMode="External"/><Relationship Id="rId92" Type="http://schemas.openxmlformats.org/officeDocument/2006/relationships/hyperlink" Target="https://www.teamrankings.com/college-football/team/air-force-falcons" TargetMode="External"/><Relationship Id="rId118" Type="http://schemas.openxmlformats.org/officeDocument/2006/relationships/hyperlink" Target="https://www.teamrankings.com/college-football/team/uab-blazers" TargetMode="External"/><Relationship Id="rId117" Type="http://schemas.openxmlformats.org/officeDocument/2006/relationships/hyperlink" Target="https://www.teamrankings.com/college-football/team/oklahoma-state-cowboys" TargetMode="External"/><Relationship Id="rId116" Type="http://schemas.openxmlformats.org/officeDocument/2006/relationships/hyperlink" Target="https://www.teamrankings.com/college-football/team/utep-miners" TargetMode="External"/><Relationship Id="rId115" Type="http://schemas.openxmlformats.org/officeDocument/2006/relationships/hyperlink" Target="https://www.teamrankings.com/college-football/team/tulsa-golden-hurricane" TargetMode="External"/><Relationship Id="rId119" Type="http://schemas.openxmlformats.org/officeDocument/2006/relationships/hyperlink" Target="https://www.teamrankings.com/college-football/team/middle-tennessee-blue-raiders" TargetMode="External"/><Relationship Id="rId15" Type="http://schemas.openxmlformats.org/officeDocument/2006/relationships/hyperlink" Target="https://www.teamrankings.com/college-football/team/unlv-rebels" TargetMode="External"/><Relationship Id="rId110" Type="http://schemas.openxmlformats.org/officeDocument/2006/relationships/hyperlink" Target="https://www.teamrankings.com/college-football/team/arizona-wildcats" TargetMode="External"/><Relationship Id="rId14" Type="http://schemas.openxmlformats.org/officeDocument/2006/relationships/hyperlink" Target="https://www.teamrankings.com/college-football/team/iowa-state-cyclones" TargetMode="External"/><Relationship Id="rId17" Type="http://schemas.openxmlformats.org/officeDocument/2006/relationships/hyperlink" Target="https://www.teamrankings.com/college-football/team/marshall-thundering-herd" TargetMode="External"/><Relationship Id="rId16" Type="http://schemas.openxmlformats.org/officeDocument/2006/relationships/hyperlink" Target="https://www.teamrankings.com/college-football/team/arizona-state-sun-devils" TargetMode="External"/><Relationship Id="rId19" Type="http://schemas.openxmlformats.org/officeDocument/2006/relationships/hyperlink" Target="https://www.teamrankings.com/college-football/team/tennessee-volunteers" TargetMode="External"/><Relationship Id="rId114" Type="http://schemas.openxmlformats.org/officeDocument/2006/relationships/hyperlink" Target="https://www.teamrankings.com/college-football/team/ball-state-cardinals" TargetMode="External"/><Relationship Id="rId18" Type="http://schemas.openxmlformats.org/officeDocument/2006/relationships/hyperlink" Target="https://www.teamrankings.com/college-football/team/navy-midshipmen" TargetMode="External"/><Relationship Id="rId113" Type="http://schemas.openxmlformats.org/officeDocument/2006/relationships/hyperlink" Target="https://www.teamrankings.com/college-football/team/florida-international-panthers" TargetMode="External"/><Relationship Id="rId112" Type="http://schemas.openxmlformats.org/officeDocument/2006/relationships/hyperlink" Target="https://www.teamrankings.com/college-football/team/maryland-terrapins" TargetMode="External"/><Relationship Id="rId111" Type="http://schemas.openxmlformats.org/officeDocument/2006/relationships/hyperlink" Target="https://www.teamrankings.com/college-football/team/wake-forest-demon-deacons" TargetMode="External"/><Relationship Id="rId84" Type="http://schemas.openxmlformats.org/officeDocument/2006/relationships/hyperlink" Target="https://www.teamrankings.com/college-football/team/eastern-michigan-eagles" TargetMode="External"/><Relationship Id="rId83" Type="http://schemas.openxmlformats.org/officeDocument/2006/relationships/hyperlink" Target="https://www.teamrankings.com/college-football/team/app-state-mountaineers" TargetMode="External"/><Relationship Id="rId86" Type="http://schemas.openxmlformats.org/officeDocument/2006/relationships/hyperlink" Target="https://www.teamrankings.com/college-football/team/auburn-tigers" TargetMode="External"/><Relationship Id="rId85" Type="http://schemas.openxmlformats.org/officeDocument/2006/relationships/hyperlink" Target="https://www.teamrankings.com/college-football/team/hawaii-rainbow-warriors" TargetMode="External"/><Relationship Id="rId88" Type="http://schemas.openxmlformats.org/officeDocument/2006/relationships/hyperlink" Target="https://www.teamrankings.com/college-football/team/michigan-state-spartans" TargetMode="External"/><Relationship Id="rId87" Type="http://schemas.openxmlformats.org/officeDocument/2006/relationships/hyperlink" Target="https://www.teamrankings.com/college-football/team/wisconsin-badgers" TargetMode="External"/><Relationship Id="rId89" Type="http://schemas.openxmlformats.org/officeDocument/2006/relationships/hyperlink" Target="https://www.teamrankings.com/college-football/team/kansas-jayhawks" TargetMode="External"/><Relationship Id="rId80" Type="http://schemas.openxmlformats.org/officeDocument/2006/relationships/hyperlink" Target="https://www.teamrankings.com/college-football/team/virginia-tech-hokies" TargetMode="External"/><Relationship Id="rId82" Type="http://schemas.openxmlformats.org/officeDocument/2006/relationships/hyperlink" Target="https://www.teamrankings.com/college-football/team/coastal-carolina-chanticleers" TargetMode="External"/><Relationship Id="rId81" Type="http://schemas.openxmlformats.org/officeDocument/2006/relationships/hyperlink" Target="https://www.teamrankings.com/college-football/team/west-virginia-mountaineers" TargetMode="External"/><Relationship Id="rId1" Type="http://schemas.openxmlformats.org/officeDocument/2006/relationships/hyperlink" Target="https://www.teamrankings.com/college-football/team/oregon-ducks" TargetMode="External"/><Relationship Id="rId2" Type="http://schemas.openxmlformats.org/officeDocument/2006/relationships/hyperlink" Target="https://www.teamrankings.com/college-football/team/notre-dame-fighting-irish" TargetMode="External"/><Relationship Id="rId3" Type="http://schemas.openxmlformats.org/officeDocument/2006/relationships/hyperlink" Target="https://www.teamrankings.com/college-football/team/ohio-state-buckeyes" TargetMode="External"/><Relationship Id="rId4" Type="http://schemas.openxmlformats.org/officeDocument/2006/relationships/hyperlink" Target="https://www.teamrankings.com/college-football/team/boise-state-broncos" TargetMode="External"/><Relationship Id="rId9" Type="http://schemas.openxmlformats.org/officeDocument/2006/relationships/hyperlink" Target="https://www.teamrankings.com/college-football/team/penn-state-nittany-lions" TargetMode="External"/><Relationship Id="rId5" Type="http://schemas.openxmlformats.org/officeDocument/2006/relationships/hyperlink" Target="https://www.teamrankings.com/college-football/team/army-black-knights" TargetMode="External"/><Relationship Id="rId6" Type="http://schemas.openxmlformats.org/officeDocument/2006/relationships/hyperlink" Target="https://www.teamrankings.com/college-football/team/indiana-hoosiers" TargetMode="External"/><Relationship Id="rId7" Type="http://schemas.openxmlformats.org/officeDocument/2006/relationships/hyperlink" Target="https://www.teamrankings.com/college-football/team/memphis-tigers" TargetMode="External"/><Relationship Id="rId8" Type="http://schemas.openxmlformats.org/officeDocument/2006/relationships/hyperlink" Target="https://www.teamrankings.com/college-football/team/byu-cougars" TargetMode="External"/><Relationship Id="rId73" Type="http://schemas.openxmlformats.org/officeDocument/2006/relationships/hyperlink" Target="https://www.teamrankings.com/college-football/team/fresno-state-bulldogs" TargetMode="External"/><Relationship Id="rId72" Type="http://schemas.openxmlformats.org/officeDocument/2006/relationships/hyperlink" Target="https://www.teamrankings.com/college-football/team/western-michigan-broncos" TargetMode="External"/><Relationship Id="rId75" Type="http://schemas.openxmlformats.org/officeDocument/2006/relationships/hyperlink" Target="https://www.teamrankings.com/college-football/team/north-texas-mean-green" TargetMode="External"/><Relationship Id="rId74" Type="http://schemas.openxmlformats.org/officeDocument/2006/relationships/hyperlink" Target="https://www.teamrankings.com/college-football/team/oklahoma-sooners" TargetMode="External"/><Relationship Id="rId77" Type="http://schemas.openxmlformats.org/officeDocument/2006/relationships/hyperlink" Target="https://www.teamrankings.com/college-football/team/california-golden-bears" TargetMode="External"/><Relationship Id="rId76" Type="http://schemas.openxmlformats.org/officeDocument/2006/relationships/hyperlink" Target="https://www.teamrankings.com/college-football/team/washington-huskies" TargetMode="External"/><Relationship Id="rId79" Type="http://schemas.openxmlformats.org/officeDocument/2006/relationships/hyperlink" Target="https://www.teamrankings.com/college-football/team/north-carolina-tar-heels" TargetMode="External"/><Relationship Id="rId78" Type="http://schemas.openxmlformats.org/officeDocument/2006/relationships/hyperlink" Target="https://www.teamrankings.com/college-football/team/nc-state-wolfpack" TargetMode="External"/><Relationship Id="rId71" Type="http://schemas.openxmlformats.org/officeDocument/2006/relationships/hyperlink" Target="https://www.teamrankings.com/college-football/team/utsa-roadrunners" TargetMode="External"/><Relationship Id="rId70" Type="http://schemas.openxmlformats.org/officeDocument/2006/relationships/hyperlink" Target="https://www.teamrankings.com/college-football/team/south-alabama-jaguars" TargetMode="External"/><Relationship Id="rId132" Type="http://schemas.openxmlformats.org/officeDocument/2006/relationships/hyperlink" Target="https://www.teamrankings.com/college-football/team/purdue-boilermakers" TargetMode="External"/><Relationship Id="rId131" Type="http://schemas.openxmlformats.org/officeDocument/2006/relationships/hyperlink" Target="https://www.teamrankings.com/college-football/team/kennesaw-state-owls" TargetMode="External"/><Relationship Id="rId130" Type="http://schemas.openxmlformats.org/officeDocument/2006/relationships/hyperlink" Target="https://www.teamrankings.com/college-football/team/massachusetts-minutemen" TargetMode="External"/><Relationship Id="rId136" Type="http://schemas.openxmlformats.org/officeDocument/2006/relationships/drawing" Target="../drawings/drawing2.xml"/><Relationship Id="rId135" Type="http://schemas.openxmlformats.org/officeDocument/2006/relationships/hyperlink" Target="https://www.teamrankings.com/college-football/team/missouri-state-bears" TargetMode="External"/><Relationship Id="rId134" Type="http://schemas.openxmlformats.org/officeDocument/2006/relationships/hyperlink" Target="https://www.teamrankings.com/college-football/team/kent-state-golden-flashes" TargetMode="External"/><Relationship Id="rId133" Type="http://schemas.openxmlformats.org/officeDocument/2006/relationships/hyperlink" Target="https://www.teamrankings.com/college-football/team/southern-miss-golden-eagles" TargetMode="External"/><Relationship Id="rId62" Type="http://schemas.openxmlformats.org/officeDocument/2006/relationships/hyperlink" Target="https://www.teamrankings.com/college-football/team/arkansas-razorbacks" TargetMode="External"/><Relationship Id="rId61" Type="http://schemas.openxmlformats.org/officeDocument/2006/relationships/hyperlink" Target="https://www.teamrankings.com/college-football/team/vanderbilt-commodores" TargetMode="External"/><Relationship Id="rId64" Type="http://schemas.openxmlformats.org/officeDocument/2006/relationships/hyperlink" Target="https://www.teamrankings.com/college-football/team/south-florida-bulls" TargetMode="External"/><Relationship Id="rId63" Type="http://schemas.openxmlformats.org/officeDocument/2006/relationships/hyperlink" Target="https://www.teamrankings.com/college-football/team/nebraska-cornhuskers" TargetMode="External"/><Relationship Id="rId66" Type="http://schemas.openxmlformats.org/officeDocument/2006/relationships/hyperlink" Target="https://www.teamrankings.com/college-football/team/georgia-tech-yellow-jackets" TargetMode="External"/><Relationship Id="rId65" Type="http://schemas.openxmlformats.org/officeDocument/2006/relationships/hyperlink" Target="https://www.teamrankings.com/college-football/team/usc-trojans" TargetMode="External"/><Relationship Id="rId68" Type="http://schemas.openxmlformats.org/officeDocument/2006/relationships/hyperlink" Target="https://www.teamrankings.com/college-football/team/boston-college-eagles" TargetMode="External"/><Relationship Id="rId67" Type="http://schemas.openxmlformats.org/officeDocument/2006/relationships/hyperlink" Target="https://www.teamrankings.com/college-football/team/pittsburgh-panthers" TargetMode="External"/><Relationship Id="rId60" Type="http://schemas.openxmlformats.org/officeDocument/2006/relationships/hyperlink" Target="https://www.teamrankings.com/college-football/team/san-jose-state-spartans" TargetMode="External"/><Relationship Id="rId69" Type="http://schemas.openxmlformats.org/officeDocument/2006/relationships/hyperlink" Target="https://www.teamrankings.com/college-football/team/rutgers-scarlet-knights" TargetMode="External"/><Relationship Id="rId51" Type="http://schemas.openxmlformats.org/officeDocument/2006/relationships/hyperlink" Target="https://www.teamrankings.com/college-football/team/baylor-bears" TargetMode="External"/><Relationship Id="rId50" Type="http://schemas.openxmlformats.org/officeDocument/2006/relationships/hyperlink" Target="https://www.teamrankings.com/college-football/team/texas-tech-red-raiders" TargetMode="External"/><Relationship Id="rId53" Type="http://schemas.openxmlformats.org/officeDocument/2006/relationships/hyperlink" Target="https://www.teamrankings.com/college-football/team/arkansas-state-red-wolves" TargetMode="External"/><Relationship Id="rId52" Type="http://schemas.openxmlformats.org/officeDocument/2006/relationships/hyperlink" Target="https://www.teamrankings.com/college-football/team/east-carolina-pirates" TargetMode="External"/><Relationship Id="rId55" Type="http://schemas.openxmlformats.org/officeDocument/2006/relationships/hyperlink" Target="https://www.teamrankings.com/college-football/team/washington-state-cougars" TargetMode="External"/><Relationship Id="rId54" Type="http://schemas.openxmlformats.org/officeDocument/2006/relationships/hyperlink" Target="https://www.teamrankings.com/college-football/team/colorado-state-rams" TargetMode="External"/><Relationship Id="rId57" Type="http://schemas.openxmlformats.org/officeDocument/2006/relationships/hyperlink" Target="https://www.teamrankings.com/college-football/team/georgia-southern-eagles" TargetMode="External"/><Relationship Id="rId56" Type="http://schemas.openxmlformats.org/officeDocument/2006/relationships/hyperlink" Target="https://www.teamrankings.com/college-football/team/texas-state-bobcats" TargetMode="External"/><Relationship Id="rId59" Type="http://schemas.openxmlformats.org/officeDocument/2006/relationships/hyperlink" Target="https://www.teamrankings.com/college-football/team/bowling-green-falcons" TargetMode="External"/><Relationship Id="rId58" Type="http://schemas.openxmlformats.org/officeDocument/2006/relationships/hyperlink" Target="https://www.teamrankings.com/college-football/team/western-kentucky-hilltopper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unlv-rebels" TargetMode="External"/><Relationship Id="rId42" Type="http://schemas.openxmlformats.org/officeDocument/2006/relationships/hyperlink" Target="https://www.teamrankings.com/college-football/team/northwestern-wildcats" TargetMode="External"/><Relationship Id="rId41" Type="http://schemas.openxmlformats.org/officeDocument/2006/relationships/hyperlink" Target="https://www.teamrankings.com/college-football/team/app-state-mountaineers" TargetMode="External"/><Relationship Id="rId44" Type="http://schemas.openxmlformats.org/officeDocument/2006/relationships/hyperlink" Target="https://www.teamrankings.com/college-football/team/usc-trojans" TargetMode="External"/><Relationship Id="rId43" Type="http://schemas.openxmlformats.org/officeDocument/2006/relationships/hyperlink" Target="https://www.teamrankings.com/college-football/team/utah-utes" TargetMode="External"/><Relationship Id="rId46" Type="http://schemas.openxmlformats.org/officeDocument/2006/relationships/hyperlink" Target="https://www.teamrankings.com/college-football/team/ucla-bruins" TargetMode="External"/><Relationship Id="rId45" Type="http://schemas.openxmlformats.org/officeDocument/2006/relationships/hyperlink" Target="https://www.teamrankings.com/college-football/team/oregon-state-beavers" TargetMode="External"/><Relationship Id="rId107" Type="http://schemas.openxmlformats.org/officeDocument/2006/relationships/hyperlink" Target="https://www.teamrankings.com/college-football/team/new-mexico-lobos" TargetMode="External"/><Relationship Id="rId106" Type="http://schemas.openxmlformats.org/officeDocument/2006/relationships/hyperlink" Target="https://www.teamrankings.com/college-football/team/middle-tennessee-blue-raiders" TargetMode="External"/><Relationship Id="rId105" Type="http://schemas.openxmlformats.org/officeDocument/2006/relationships/hyperlink" Target="https://www.teamrankings.com/college-football/team/houston-cougars" TargetMode="External"/><Relationship Id="rId104" Type="http://schemas.openxmlformats.org/officeDocument/2006/relationships/hyperlink" Target="https://www.teamrankings.com/college-football/team/uab-blazers" TargetMode="External"/><Relationship Id="rId109" Type="http://schemas.openxmlformats.org/officeDocument/2006/relationships/hyperlink" Target="https://www.teamrankings.com/college-football/team/wake-forest-demon-deacons" TargetMode="External"/><Relationship Id="rId108" Type="http://schemas.openxmlformats.org/officeDocument/2006/relationships/hyperlink" Target="https://www.teamrankings.com/college-football/team/san-diego-state-aztecs" TargetMode="External"/><Relationship Id="rId48" Type="http://schemas.openxmlformats.org/officeDocument/2006/relationships/hyperlink" Target="https://www.teamrankings.com/college-football/team/north-carolina-tar-heels" TargetMode="External"/><Relationship Id="rId47" Type="http://schemas.openxmlformats.org/officeDocument/2006/relationships/hyperlink" Target="https://www.teamrankings.com/college-football/team/duke-blue-devils" TargetMode="External"/><Relationship Id="rId49" Type="http://schemas.openxmlformats.org/officeDocument/2006/relationships/hyperlink" Target="https://www.teamrankings.com/college-football/team/maryland-terrapins" TargetMode="External"/><Relationship Id="rId103" Type="http://schemas.openxmlformats.org/officeDocument/2006/relationships/hyperlink" Target="https://www.teamrankings.com/college-football/team/colorado-buffaloes" TargetMode="External"/><Relationship Id="rId102" Type="http://schemas.openxmlformats.org/officeDocument/2006/relationships/hyperlink" Target="https://www.teamrankings.com/college-football/team/purdue-boilermakers" TargetMode="External"/><Relationship Id="rId101" Type="http://schemas.openxmlformats.org/officeDocument/2006/relationships/hyperlink" Target="https://www.teamrankings.com/college-football/team/michigan-state-spartans" TargetMode="External"/><Relationship Id="rId100" Type="http://schemas.openxmlformats.org/officeDocument/2006/relationships/hyperlink" Target="https://www.teamrankings.com/college-football/team/arkansas-razorbacks" TargetMode="External"/><Relationship Id="rId31" Type="http://schemas.openxmlformats.org/officeDocument/2006/relationships/hyperlink" Target="https://www.teamrankings.com/college-football/team/kansas-jayhawks" TargetMode="External"/><Relationship Id="rId30" Type="http://schemas.openxmlformats.org/officeDocument/2006/relationships/hyperlink" Target="https://www.teamrankings.com/college-football/team/kansas-state-wildcats" TargetMode="External"/><Relationship Id="rId33" Type="http://schemas.openxmlformats.org/officeDocument/2006/relationships/hyperlink" Target="https://www.teamrankings.com/college-football/team/wyoming-cowboys" TargetMode="External"/><Relationship Id="rId32" Type="http://schemas.openxmlformats.org/officeDocument/2006/relationships/hyperlink" Target="https://www.teamrankings.com/college-football/team/air-force-falcons" TargetMode="External"/><Relationship Id="rId35" Type="http://schemas.openxmlformats.org/officeDocument/2006/relationships/hyperlink" Target="https://www.teamrankings.com/college-football/team/nc-state-wolfpack" TargetMode="External"/><Relationship Id="rId34" Type="http://schemas.openxmlformats.org/officeDocument/2006/relationships/hyperlink" Target="https://www.teamrankings.com/college-football/team/clemson-tigers" TargetMode="External"/><Relationship Id="rId37" Type="http://schemas.openxmlformats.org/officeDocument/2006/relationships/hyperlink" Target="https://www.teamrankings.com/college-football/team/jacksonville-state-gamecocks" TargetMode="External"/><Relationship Id="rId36" Type="http://schemas.openxmlformats.org/officeDocument/2006/relationships/hyperlink" Target="https://www.teamrankings.com/college-football/team/west-virginia-mountaineers" TargetMode="External"/><Relationship Id="rId39" Type="http://schemas.openxmlformats.org/officeDocument/2006/relationships/hyperlink" Target="https://www.teamrankings.com/college-football/team/new-mexico-state-aggies" TargetMode="External"/><Relationship Id="rId38" Type="http://schemas.openxmlformats.org/officeDocument/2006/relationships/hyperlink" Target="https://www.teamrankings.com/college-football/team/utsa-roadrunners" TargetMode="External"/><Relationship Id="rId20" Type="http://schemas.openxmlformats.org/officeDocument/2006/relationships/hyperlink" Target="https://www.teamrankings.com/college-football/team/louisiana-state-tigers" TargetMode="External"/><Relationship Id="rId22" Type="http://schemas.openxmlformats.org/officeDocument/2006/relationships/hyperlink" Target="https://www.teamrankings.com/college-football/team/oklahoma-sooners" TargetMode="External"/><Relationship Id="rId21" Type="http://schemas.openxmlformats.org/officeDocument/2006/relationships/hyperlink" Target="https://www.teamrankings.com/college-football/team/penn-state-nittany-lions" TargetMode="External"/><Relationship Id="rId24" Type="http://schemas.openxmlformats.org/officeDocument/2006/relationships/hyperlink" Target="https://www.teamrankings.com/college-football/team/arizona-wildcats" TargetMode="External"/><Relationship Id="rId23" Type="http://schemas.openxmlformats.org/officeDocument/2006/relationships/hyperlink" Target="https://www.teamrankings.com/college-football/team/memphis-tigers" TargetMode="External"/><Relationship Id="rId129" Type="http://schemas.openxmlformats.org/officeDocument/2006/relationships/hyperlink" Target="https://www.teamrankings.com/college-football/team/nevada-wolf-pack" TargetMode="External"/><Relationship Id="rId128" Type="http://schemas.openxmlformats.org/officeDocument/2006/relationships/hyperlink" Target="https://www.teamrankings.com/college-football/team/akron-zips" TargetMode="External"/><Relationship Id="rId127" Type="http://schemas.openxmlformats.org/officeDocument/2006/relationships/hyperlink" Target="https://www.teamrankings.com/college-football/team/charlotte-49ers" TargetMode="External"/><Relationship Id="rId126" Type="http://schemas.openxmlformats.org/officeDocument/2006/relationships/hyperlink" Target="https://www.teamrankings.com/college-football/team/sam-houston-bearkats" TargetMode="External"/><Relationship Id="rId26" Type="http://schemas.openxmlformats.org/officeDocument/2006/relationships/hyperlink" Target="https://www.teamrankings.com/college-football/team/oklahoma-state-cowboys" TargetMode="External"/><Relationship Id="rId121" Type="http://schemas.openxmlformats.org/officeDocument/2006/relationships/hyperlink" Target="https://www.teamrankings.com/college-football/team/virginia-cavaliers" TargetMode="External"/><Relationship Id="rId25" Type="http://schemas.openxmlformats.org/officeDocument/2006/relationships/hyperlink" Target="https://www.teamrankings.com/college-football/team/iowa-hawkeyes" TargetMode="External"/><Relationship Id="rId120" Type="http://schemas.openxmlformats.org/officeDocument/2006/relationships/hyperlink" Target="https://www.teamrankings.com/college-football/team/arizona-state-sun-devils" TargetMode="External"/><Relationship Id="rId28" Type="http://schemas.openxmlformats.org/officeDocument/2006/relationships/hyperlink" Target="https://www.teamrankings.com/college-football/team/fresno-state-bulldogs" TargetMode="External"/><Relationship Id="rId27" Type="http://schemas.openxmlformats.org/officeDocument/2006/relationships/hyperlink" Target="https://www.teamrankings.com/college-football/team/louisville-cardinals" TargetMode="External"/><Relationship Id="rId125" Type="http://schemas.openxmlformats.org/officeDocument/2006/relationships/hyperlink" Target="https://www.teamrankings.com/college-football/team/massachusetts-minutemen" TargetMode="External"/><Relationship Id="rId29" Type="http://schemas.openxmlformats.org/officeDocument/2006/relationships/hyperlink" Target="https://www.teamrankings.com/college-football/team/tennessee-volunteers" TargetMode="External"/><Relationship Id="rId124" Type="http://schemas.openxmlformats.org/officeDocument/2006/relationships/hyperlink" Target="https://www.teamrankings.com/college-football/team/connecticut-huskies" TargetMode="External"/><Relationship Id="rId123" Type="http://schemas.openxmlformats.org/officeDocument/2006/relationships/hyperlink" Target="https://www.teamrankings.com/college-football/team/pittsburgh-panthers" TargetMode="External"/><Relationship Id="rId122" Type="http://schemas.openxmlformats.org/officeDocument/2006/relationships/hyperlink" Target="https://www.teamrankings.com/college-football/team/temple-owls" TargetMode="External"/><Relationship Id="rId95" Type="http://schemas.openxmlformats.org/officeDocument/2006/relationships/hyperlink" Target="https://www.teamrankings.com/college-football/team/washington-state-cougars" TargetMode="External"/><Relationship Id="rId94" Type="http://schemas.openxmlformats.org/officeDocument/2006/relationships/hyperlink" Target="https://www.teamrankings.com/college-football/team/colorado-state-rams" TargetMode="External"/><Relationship Id="rId97" Type="http://schemas.openxmlformats.org/officeDocument/2006/relationships/hyperlink" Target="https://www.teamrankings.com/college-football/team/western-michigan-broncos" TargetMode="External"/><Relationship Id="rId96" Type="http://schemas.openxmlformats.org/officeDocument/2006/relationships/hyperlink" Target="https://www.teamrankings.com/college-football/team/hawaii-rainbow-warriors" TargetMode="External"/><Relationship Id="rId11" Type="http://schemas.openxmlformats.org/officeDocument/2006/relationships/hyperlink" Target="https://www.teamrankings.com/college-football/team/missouri-tigers" TargetMode="External"/><Relationship Id="rId99" Type="http://schemas.openxmlformats.org/officeDocument/2006/relationships/hyperlink" Target="https://www.teamrankings.com/college-football/team/tulsa-golden-hurricane" TargetMode="External"/><Relationship Id="rId10" Type="http://schemas.openxmlformats.org/officeDocument/2006/relationships/hyperlink" Target="https://www.teamrankings.com/college-football/team/ohio-state-buckeyes" TargetMode="External"/><Relationship Id="rId98" Type="http://schemas.openxmlformats.org/officeDocument/2006/relationships/hyperlink" Target="https://www.teamrankings.com/college-football/team/ball-state-cardinals" TargetMode="External"/><Relationship Id="rId13" Type="http://schemas.openxmlformats.org/officeDocument/2006/relationships/hyperlink" Target="https://www.teamrankings.com/college-football/team/toledo-rockets" TargetMode="External"/><Relationship Id="rId12" Type="http://schemas.openxmlformats.org/officeDocument/2006/relationships/hyperlink" Target="https://www.teamrankings.com/college-football/team/james-madison-dukes" TargetMode="External"/><Relationship Id="rId91" Type="http://schemas.openxmlformats.org/officeDocument/2006/relationships/hyperlink" Target="https://www.teamrankings.com/college-football/team/tcu-horned-frogs" TargetMode="External"/><Relationship Id="rId90" Type="http://schemas.openxmlformats.org/officeDocument/2006/relationships/hyperlink" Target="https://www.teamrankings.com/college-football/team/nebraska-cornhuskers" TargetMode="External"/><Relationship Id="rId93" Type="http://schemas.openxmlformats.org/officeDocument/2006/relationships/hyperlink" Target="https://www.teamrankings.com/college-football/team/byu-cougars" TargetMode="External"/><Relationship Id="rId92" Type="http://schemas.openxmlformats.org/officeDocument/2006/relationships/hyperlink" Target="https://www.teamrankings.com/college-football/team/north-texas-mean-green" TargetMode="External"/><Relationship Id="rId118" Type="http://schemas.openxmlformats.org/officeDocument/2006/relationships/hyperlink" Target="https://www.teamrankings.com/college-football/team/southern-miss-golden-eagles" TargetMode="External"/><Relationship Id="rId117" Type="http://schemas.openxmlformats.org/officeDocument/2006/relationships/hyperlink" Target="https://www.teamrankings.com/college-football/team/cincinnati-bearcats" TargetMode="External"/><Relationship Id="rId116" Type="http://schemas.openxmlformats.org/officeDocument/2006/relationships/hyperlink" Target="https://www.teamrankings.com/college-football/team/baylor-bears" TargetMode="External"/><Relationship Id="rId115" Type="http://schemas.openxmlformats.org/officeDocument/2006/relationships/hyperlink" Target="https://www.teamrankings.com/college-football/team/indiana-hoosiers" TargetMode="External"/><Relationship Id="rId119" Type="http://schemas.openxmlformats.org/officeDocument/2006/relationships/hyperlink" Target="https://www.teamrankings.com/college-football/team/stanford-cardinal" TargetMode="External"/><Relationship Id="rId15" Type="http://schemas.openxmlformats.org/officeDocument/2006/relationships/hyperlink" Target="https://www.teamrankings.com/college-football/team/smu-mustangs" TargetMode="External"/><Relationship Id="rId110" Type="http://schemas.openxmlformats.org/officeDocument/2006/relationships/hyperlink" Target="https://www.teamrankings.com/college-football/team/florida-international-panthers" TargetMode="External"/><Relationship Id="rId14" Type="http://schemas.openxmlformats.org/officeDocument/2006/relationships/hyperlink" Target="https://www.teamrankings.com/college-football/team/miami-oh-redhawks" TargetMode="External"/><Relationship Id="rId17" Type="http://schemas.openxmlformats.org/officeDocument/2006/relationships/hyperlink" Target="https://www.teamrankings.com/college-football/team/troy-trojans" TargetMode="External"/><Relationship Id="rId16" Type="http://schemas.openxmlformats.org/officeDocument/2006/relationships/hyperlink" Target="https://www.teamrankings.com/college-football/team/tulane-green-wave" TargetMode="External"/><Relationship Id="rId19" Type="http://schemas.openxmlformats.org/officeDocument/2006/relationships/hyperlink" Target="https://www.teamrankings.com/college-football/team/notre-dame-fighting-irish" TargetMode="External"/><Relationship Id="rId114" Type="http://schemas.openxmlformats.org/officeDocument/2006/relationships/hyperlink" Target="https://www.teamrankings.com/college-football/team/utep-miners" TargetMode="External"/><Relationship Id="rId18" Type="http://schemas.openxmlformats.org/officeDocument/2006/relationships/hyperlink" Target="https://www.teamrankings.com/college-football/team/ohio-bobcats" TargetMode="External"/><Relationship Id="rId113" Type="http://schemas.openxmlformats.org/officeDocument/2006/relationships/hyperlink" Target="https://www.teamrankings.com/college-football/team/louisiana-tech-bulldogs" TargetMode="External"/><Relationship Id="rId112" Type="http://schemas.openxmlformats.org/officeDocument/2006/relationships/hyperlink" Target="https://www.teamrankings.com/college-football/team/buffalo-bulls" TargetMode="External"/><Relationship Id="rId111" Type="http://schemas.openxmlformats.org/officeDocument/2006/relationships/hyperlink" Target="https://www.teamrankings.com/college-football/team/florida-atlantic-owls" TargetMode="External"/><Relationship Id="rId84" Type="http://schemas.openxmlformats.org/officeDocument/2006/relationships/hyperlink" Target="https://www.teamrankings.com/college-football/team/central-michigan-chippewas" TargetMode="External"/><Relationship Id="rId83" Type="http://schemas.openxmlformats.org/officeDocument/2006/relationships/hyperlink" Target="https://www.teamrankings.com/college-football/team/old-dominion-monarchs" TargetMode="External"/><Relationship Id="rId86" Type="http://schemas.openxmlformats.org/officeDocument/2006/relationships/hyperlink" Target="https://www.teamrankings.com/college-football/team/south-carolina-gamecocks" TargetMode="External"/><Relationship Id="rId85" Type="http://schemas.openxmlformats.org/officeDocument/2006/relationships/hyperlink" Target="https://www.teamrankings.com/college-football/team/navy-midshipmen" TargetMode="External"/><Relationship Id="rId88" Type="http://schemas.openxmlformats.org/officeDocument/2006/relationships/hyperlink" Target="https://www.teamrankings.com/college-football/team/mississippi-state-bulldogs" TargetMode="External"/><Relationship Id="rId87" Type="http://schemas.openxmlformats.org/officeDocument/2006/relationships/hyperlink" Target="https://www.teamrankings.com/college-football/team/florida-gators" TargetMode="External"/><Relationship Id="rId89" Type="http://schemas.openxmlformats.org/officeDocument/2006/relationships/hyperlink" Target="https://www.teamrankings.com/college-football/team/illinois-fighting-illini" TargetMode="External"/><Relationship Id="rId80" Type="http://schemas.openxmlformats.org/officeDocument/2006/relationships/hyperlink" Target="https://www.teamrankings.com/college-football/team/california-golden-bears" TargetMode="External"/><Relationship Id="rId82" Type="http://schemas.openxmlformats.org/officeDocument/2006/relationships/hyperlink" Target="https://www.teamrankings.com/college-football/team/georgia-southern-eagles" TargetMode="External"/><Relationship Id="rId81" Type="http://schemas.openxmlformats.org/officeDocument/2006/relationships/hyperlink" Target="https://www.teamrankings.com/college-football/team/syracuse-orange" TargetMode="External"/><Relationship Id="rId1" Type="http://schemas.openxmlformats.org/officeDocument/2006/relationships/hyperlink" Target="https://www.teamrankings.com/college-football/team/michigan-wolverines" TargetMode="External"/><Relationship Id="rId2" Type="http://schemas.openxmlformats.org/officeDocument/2006/relationships/hyperlink" Target="https://www.teamrankings.com/college-football/team/washington-huskies" TargetMode="External"/><Relationship Id="rId3" Type="http://schemas.openxmlformats.org/officeDocument/2006/relationships/hyperlink" Target="https://www.teamrankings.com/college-football/team/georgia-bulldogs" TargetMode="External"/><Relationship Id="rId4" Type="http://schemas.openxmlformats.org/officeDocument/2006/relationships/hyperlink" Target="https://www.teamrankings.com/college-football/team/florida-state-seminoles" TargetMode="External"/><Relationship Id="rId9" Type="http://schemas.openxmlformats.org/officeDocument/2006/relationships/hyperlink" Target="https://www.teamrankings.com/college-football/team/mississippi-rebels" TargetMode="External"/><Relationship Id="rId5" Type="http://schemas.openxmlformats.org/officeDocument/2006/relationships/hyperlink" Target="https://www.teamrankings.com/college-football/team/liberty-flames" TargetMode="External"/><Relationship Id="rId6" Type="http://schemas.openxmlformats.org/officeDocument/2006/relationships/hyperlink" Target="https://www.teamrankings.com/college-football/team/alabama-crimson-tide" TargetMode="External"/><Relationship Id="rId7" Type="http://schemas.openxmlformats.org/officeDocument/2006/relationships/hyperlink" Target="https://www.teamrankings.com/college-football/team/texas-longhorns" TargetMode="External"/><Relationship Id="rId8" Type="http://schemas.openxmlformats.org/officeDocument/2006/relationships/hyperlink" Target="https://www.teamrankings.com/college-football/team/oregon-ducks" TargetMode="External"/><Relationship Id="rId73" Type="http://schemas.openxmlformats.org/officeDocument/2006/relationships/hyperlink" Target="https://www.teamrankings.com/college-football/team/ucf-knights" TargetMode="External"/><Relationship Id="rId72" Type="http://schemas.openxmlformats.org/officeDocument/2006/relationships/hyperlink" Target="https://www.teamrankings.com/college-football/team/marshall-thundering-herd" TargetMode="External"/><Relationship Id="rId75" Type="http://schemas.openxmlformats.org/officeDocument/2006/relationships/hyperlink" Target="https://www.teamrankings.com/college-football/team/auburn-tigers" TargetMode="External"/><Relationship Id="rId74" Type="http://schemas.openxmlformats.org/officeDocument/2006/relationships/hyperlink" Target="https://www.teamrankings.com/college-football/team/rice-owls" TargetMode="External"/><Relationship Id="rId77" Type="http://schemas.openxmlformats.org/officeDocument/2006/relationships/hyperlink" Target="https://www.teamrankings.com/college-football/team/louisiana-ragin-cajuns" TargetMode="External"/><Relationship Id="rId76" Type="http://schemas.openxmlformats.org/officeDocument/2006/relationships/hyperlink" Target="https://www.teamrankings.com/college-football/team/minnesota-golden-gophers" TargetMode="External"/><Relationship Id="rId79" Type="http://schemas.openxmlformats.org/officeDocument/2006/relationships/hyperlink" Target="https://www.teamrankings.com/college-football/team/arkansas-state-red-wolves" TargetMode="External"/><Relationship Id="rId78" Type="http://schemas.openxmlformats.org/officeDocument/2006/relationships/hyperlink" Target="https://www.teamrankings.com/college-football/team/utah-state-aggies" TargetMode="External"/><Relationship Id="rId71" Type="http://schemas.openxmlformats.org/officeDocument/2006/relationships/hyperlink" Target="https://www.teamrankings.com/college-football/team/eastern-michigan-eagles" TargetMode="External"/><Relationship Id="rId70" Type="http://schemas.openxmlformats.org/officeDocument/2006/relationships/hyperlink" Target="https://www.teamrankings.com/college-football/team/army-black-knights" TargetMode="External"/><Relationship Id="rId137" Type="http://schemas.openxmlformats.org/officeDocument/2006/relationships/drawing" Target="../drawings/drawing3.xml"/><Relationship Id="rId132" Type="http://schemas.openxmlformats.org/officeDocument/2006/relationships/hyperlink" Target="https://www.teamrankings.com/college-football/team/ul-monroe-warhawks" TargetMode="External"/><Relationship Id="rId131" Type="http://schemas.openxmlformats.org/officeDocument/2006/relationships/hyperlink" Target="https://www.teamrankings.com/college-football/team/east-carolina-pirates" TargetMode="External"/><Relationship Id="rId130" Type="http://schemas.openxmlformats.org/officeDocument/2006/relationships/hyperlink" Target="https://www.teamrankings.com/college-football/team/vanderbilt-commodores" TargetMode="External"/><Relationship Id="rId136" Type="http://schemas.openxmlformats.org/officeDocument/2006/relationships/hyperlink" Target="https://www.teamrankings.com/college-football/team/kennesaw-state-owls" TargetMode="External"/><Relationship Id="rId135" Type="http://schemas.openxmlformats.org/officeDocument/2006/relationships/hyperlink" Target="https://www.teamrankings.com/college-football/team/missouri-state-bears" TargetMode="External"/><Relationship Id="rId134" Type="http://schemas.openxmlformats.org/officeDocument/2006/relationships/hyperlink" Target="https://www.teamrankings.com/college-football/team/delaware-fightin-blue-hens" TargetMode="External"/><Relationship Id="rId133" Type="http://schemas.openxmlformats.org/officeDocument/2006/relationships/hyperlink" Target="https://www.teamrankings.com/college-football/team/kent-state-golden-flashes" TargetMode="External"/><Relationship Id="rId62" Type="http://schemas.openxmlformats.org/officeDocument/2006/relationships/hyperlink" Target="https://www.teamrankings.com/college-football/team/south-florida-bulls" TargetMode="External"/><Relationship Id="rId61" Type="http://schemas.openxmlformats.org/officeDocument/2006/relationships/hyperlink" Target="https://www.teamrankings.com/college-football/team/texas-tech-red-raiders" TargetMode="External"/><Relationship Id="rId64" Type="http://schemas.openxmlformats.org/officeDocument/2006/relationships/hyperlink" Target="https://www.teamrankings.com/college-football/team/virginia-tech-hokies" TargetMode="External"/><Relationship Id="rId63" Type="http://schemas.openxmlformats.org/officeDocument/2006/relationships/hyperlink" Target="https://www.teamrankings.com/college-football/team/miami-hurricanes" TargetMode="External"/><Relationship Id="rId66" Type="http://schemas.openxmlformats.org/officeDocument/2006/relationships/hyperlink" Target="https://www.teamrankings.com/college-football/team/boston-college-eagles" TargetMode="External"/><Relationship Id="rId65" Type="http://schemas.openxmlformats.org/officeDocument/2006/relationships/hyperlink" Target="https://www.teamrankings.com/college-football/team/georgia-tech-yellow-jackets" TargetMode="External"/><Relationship Id="rId68" Type="http://schemas.openxmlformats.org/officeDocument/2006/relationships/hyperlink" Target="https://www.teamrankings.com/college-football/team/georgia-state-panthers" TargetMode="External"/><Relationship Id="rId67" Type="http://schemas.openxmlformats.org/officeDocument/2006/relationships/hyperlink" Target="https://www.teamrankings.com/college-football/team/rutgers-scarlet-knights" TargetMode="External"/><Relationship Id="rId60" Type="http://schemas.openxmlformats.org/officeDocument/2006/relationships/hyperlink" Target="https://www.teamrankings.com/college-football/team/texas-am-aggies" TargetMode="External"/><Relationship Id="rId69" Type="http://schemas.openxmlformats.org/officeDocument/2006/relationships/hyperlink" Target="https://www.teamrankings.com/college-football/team/south-alabama-jaguars" TargetMode="External"/><Relationship Id="rId51" Type="http://schemas.openxmlformats.org/officeDocument/2006/relationships/hyperlink" Target="https://www.teamrankings.com/college-football/team/western-kentucky-hilltoppers" TargetMode="External"/><Relationship Id="rId50" Type="http://schemas.openxmlformats.org/officeDocument/2006/relationships/hyperlink" Target="https://www.teamrankings.com/college-football/team/texas-state-bobcats" TargetMode="External"/><Relationship Id="rId53" Type="http://schemas.openxmlformats.org/officeDocument/2006/relationships/hyperlink" Target="https://www.teamrankings.com/college-football/team/boise-state-broncos" TargetMode="External"/><Relationship Id="rId52" Type="http://schemas.openxmlformats.org/officeDocument/2006/relationships/hyperlink" Target="https://www.teamrankings.com/college-football/team/coastal-carolina-chanticleers" TargetMode="External"/><Relationship Id="rId55" Type="http://schemas.openxmlformats.org/officeDocument/2006/relationships/hyperlink" Target="https://www.teamrankings.com/college-football/team/bowling-green-falcons" TargetMode="External"/><Relationship Id="rId54" Type="http://schemas.openxmlformats.org/officeDocument/2006/relationships/hyperlink" Target="https://www.teamrankings.com/college-football/team/northern-illinois-huskies" TargetMode="External"/><Relationship Id="rId57" Type="http://schemas.openxmlformats.org/officeDocument/2006/relationships/hyperlink" Target="https://www.teamrankings.com/college-football/team/kentucky-wildcats" TargetMode="External"/><Relationship Id="rId56" Type="http://schemas.openxmlformats.org/officeDocument/2006/relationships/hyperlink" Target="https://www.teamrankings.com/college-football/team/san-jose-state-spartans" TargetMode="External"/><Relationship Id="rId59" Type="http://schemas.openxmlformats.org/officeDocument/2006/relationships/hyperlink" Target="https://www.teamrankings.com/college-football/team/iowa-state-cyclones" TargetMode="External"/><Relationship Id="rId58" Type="http://schemas.openxmlformats.org/officeDocument/2006/relationships/hyperlink" Target="https://www.teamrankings.com/college-football/team/wisconsin-badger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western-kentucky-hilltoppers" TargetMode="External"/><Relationship Id="rId42" Type="http://schemas.openxmlformats.org/officeDocument/2006/relationships/hyperlink" Target="https://www.teamrankings.com/college-football/team/mississippi-rebels" TargetMode="External"/><Relationship Id="rId41" Type="http://schemas.openxmlformats.org/officeDocument/2006/relationships/hyperlink" Target="https://www.teamrankings.com/college-football/team/south-carolina-gamecocks" TargetMode="External"/><Relationship Id="rId44" Type="http://schemas.openxmlformats.org/officeDocument/2006/relationships/hyperlink" Target="https://www.teamrankings.com/college-football/team/iowa-hawkeyes" TargetMode="External"/><Relationship Id="rId43" Type="http://schemas.openxmlformats.org/officeDocument/2006/relationships/hyperlink" Target="https://www.teamrankings.com/college-football/team/illinois-fighting-illini" TargetMode="External"/><Relationship Id="rId46" Type="http://schemas.openxmlformats.org/officeDocument/2006/relationships/hyperlink" Target="https://www.teamrankings.com/college-football/team/texas-tech-red-raiders" TargetMode="External"/><Relationship Id="rId45" Type="http://schemas.openxmlformats.org/officeDocument/2006/relationships/hyperlink" Target="https://www.teamrankings.com/college-football/team/texas-longhorns" TargetMode="External"/><Relationship Id="rId107" Type="http://schemas.openxmlformats.org/officeDocument/2006/relationships/hyperlink" Target="https://www.teamrankings.com/college-football/team/ul-monroe-warhawks" TargetMode="External"/><Relationship Id="rId106" Type="http://schemas.openxmlformats.org/officeDocument/2006/relationships/hyperlink" Target="https://www.teamrankings.com/college-football/team/nebraska-cornhuskers" TargetMode="External"/><Relationship Id="rId105" Type="http://schemas.openxmlformats.org/officeDocument/2006/relationships/hyperlink" Target="https://www.teamrankings.com/college-football/team/iowa-state-cyclones" TargetMode="External"/><Relationship Id="rId104" Type="http://schemas.openxmlformats.org/officeDocument/2006/relationships/hyperlink" Target="https://www.teamrankings.com/college-football/team/indiana-hoosiers" TargetMode="External"/><Relationship Id="rId109" Type="http://schemas.openxmlformats.org/officeDocument/2006/relationships/hyperlink" Target="https://www.teamrankings.com/college-football/team/rutgers-scarlet-knights" TargetMode="External"/><Relationship Id="rId108" Type="http://schemas.openxmlformats.org/officeDocument/2006/relationships/hyperlink" Target="https://www.teamrankings.com/college-football/team/california-golden-bears" TargetMode="External"/><Relationship Id="rId48" Type="http://schemas.openxmlformats.org/officeDocument/2006/relationships/hyperlink" Target="https://www.teamrankings.com/college-football/team/houston-cougars" TargetMode="External"/><Relationship Id="rId47" Type="http://schemas.openxmlformats.org/officeDocument/2006/relationships/hyperlink" Target="https://www.teamrankings.com/college-football/team/east-carolina-pirates" TargetMode="External"/><Relationship Id="rId49" Type="http://schemas.openxmlformats.org/officeDocument/2006/relationships/hyperlink" Target="https://www.teamrankings.com/college-football/team/louisville-cardinals" TargetMode="External"/><Relationship Id="rId103" Type="http://schemas.openxmlformats.org/officeDocument/2006/relationships/hyperlink" Target="https://www.teamrankings.com/college-football/team/navy-midshipmen" TargetMode="External"/><Relationship Id="rId102" Type="http://schemas.openxmlformats.org/officeDocument/2006/relationships/hyperlink" Target="https://www.teamrankings.com/college-football/team/central-michigan-chippewas" TargetMode="External"/><Relationship Id="rId101" Type="http://schemas.openxmlformats.org/officeDocument/2006/relationships/hyperlink" Target="https://www.teamrankings.com/college-football/team/rice-owls" TargetMode="External"/><Relationship Id="rId100" Type="http://schemas.openxmlformats.org/officeDocument/2006/relationships/hyperlink" Target="https://www.teamrankings.com/college-football/team/florida-atlantic-owls" TargetMode="External"/><Relationship Id="rId31" Type="http://schemas.openxmlformats.org/officeDocument/2006/relationships/hyperlink" Target="https://www.teamrankings.com/college-football/team/minnesota-golden-gophers" TargetMode="External"/><Relationship Id="rId30" Type="http://schemas.openxmlformats.org/officeDocument/2006/relationships/hyperlink" Target="https://www.teamrankings.com/college-football/team/mississippi-state-bulldogs" TargetMode="External"/><Relationship Id="rId33" Type="http://schemas.openxmlformats.org/officeDocument/2006/relationships/hyperlink" Target="https://www.teamrankings.com/college-football/team/ucla-bruins" TargetMode="External"/><Relationship Id="rId32" Type="http://schemas.openxmlformats.org/officeDocument/2006/relationships/hyperlink" Target="https://www.teamrankings.com/college-football/team/cincinnati-bearcats" TargetMode="External"/><Relationship Id="rId35" Type="http://schemas.openxmlformats.org/officeDocument/2006/relationships/hyperlink" Target="https://www.teamrankings.com/college-football/team/pittsburgh-panthers" TargetMode="External"/><Relationship Id="rId34" Type="http://schemas.openxmlformats.org/officeDocument/2006/relationships/hyperlink" Target="https://www.teamrankings.com/college-football/team/duke-blue-devils" TargetMode="External"/><Relationship Id="rId37" Type="http://schemas.openxmlformats.org/officeDocument/2006/relationships/hyperlink" Target="https://www.teamrankings.com/college-football/team/toledo-rockets" TargetMode="External"/><Relationship Id="rId36" Type="http://schemas.openxmlformats.org/officeDocument/2006/relationships/hyperlink" Target="https://www.teamrankings.com/college-football/team/coastal-carolina-chanticleers" TargetMode="External"/><Relationship Id="rId39" Type="http://schemas.openxmlformats.org/officeDocument/2006/relationships/hyperlink" Target="https://www.teamrankings.com/college-football/team/north-carolina-tar-heels" TargetMode="External"/><Relationship Id="rId38" Type="http://schemas.openxmlformats.org/officeDocument/2006/relationships/hyperlink" Target="https://www.teamrankings.com/college-football/team/ucf-knights" TargetMode="External"/><Relationship Id="rId20" Type="http://schemas.openxmlformats.org/officeDocument/2006/relationships/hyperlink" Target="https://www.teamrankings.com/college-football/team/james-madison-dukes" TargetMode="External"/><Relationship Id="rId22" Type="http://schemas.openxmlformats.org/officeDocument/2006/relationships/hyperlink" Target="https://www.teamrankings.com/college-football/team/boise-state-broncos" TargetMode="External"/><Relationship Id="rId21" Type="http://schemas.openxmlformats.org/officeDocument/2006/relationships/hyperlink" Target="https://www.teamrankings.com/college-football/team/ohio-bobcats" TargetMode="External"/><Relationship Id="rId24" Type="http://schemas.openxmlformats.org/officeDocument/2006/relationships/hyperlink" Target="https://www.teamrankings.com/college-football/team/louisiana-state-tigers" TargetMode="External"/><Relationship Id="rId23" Type="http://schemas.openxmlformats.org/officeDocument/2006/relationships/hyperlink" Target="https://www.teamrankings.com/college-football/team/fresno-state-bulldogs" TargetMode="External"/><Relationship Id="rId129" Type="http://schemas.openxmlformats.org/officeDocument/2006/relationships/hyperlink" Target="https://www.teamrankings.com/college-football/team/northwestern-wildcats" TargetMode="External"/><Relationship Id="rId128" Type="http://schemas.openxmlformats.org/officeDocument/2006/relationships/hyperlink" Target="https://www.teamrankings.com/college-football/team/new-mexico-lobos" TargetMode="External"/><Relationship Id="rId127" Type="http://schemas.openxmlformats.org/officeDocument/2006/relationships/hyperlink" Target="https://www.teamrankings.com/college-football/team/nevada-wolf-pack" TargetMode="External"/><Relationship Id="rId126" Type="http://schemas.openxmlformats.org/officeDocument/2006/relationships/hyperlink" Target="https://www.teamrankings.com/college-football/team/akron-zips" TargetMode="External"/><Relationship Id="rId26" Type="http://schemas.openxmlformats.org/officeDocument/2006/relationships/hyperlink" Target="https://www.teamrankings.com/college-football/team/utah-utes" TargetMode="External"/><Relationship Id="rId121" Type="http://schemas.openxmlformats.org/officeDocument/2006/relationships/hyperlink" Target="https://www.teamrankings.com/college-football/team/temple-owls" TargetMode="External"/><Relationship Id="rId25" Type="http://schemas.openxmlformats.org/officeDocument/2006/relationships/hyperlink" Target="https://www.teamrankings.com/college-football/team/kansas-state-wildcats" TargetMode="External"/><Relationship Id="rId120" Type="http://schemas.openxmlformats.org/officeDocument/2006/relationships/hyperlink" Target="https://www.teamrankings.com/college-football/team/arizona-state-sun-devils" TargetMode="External"/><Relationship Id="rId28" Type="http://schemas.openxmlformats.org/officeDocument/2006/relationships/hyperlink" Target="https://www.teamrankings.com/college-football/team/marshall-thundering-herd" TargetMode="External"/><Relationship Id="rId27" Type="http://schemas.openxmlformats.org/officeDocument/2006/relationships/hyperlink" Target="https://www.teamrankings.com/college-football/team/eastern-michigan-eagles" TargetMode="External"/><Relationship Id="rId125" Type="http://schemas.openxmlformats.org/officeDocument/2006/relationships/hyperlink" Target="https://www.teamrankings.com/college-football/team/hawaii-rainbow-warriors" TargetMode="External"/><Relationship Id="rId29" Type="http://schemas.openxmlformats.org/officeDocument/2006/relationships/hyperlink" Target="https://www.teamrankings.com/college-football/team/notre-dame-fighting-irish" TargetMode="External"/><Relationship Id="rId124" Type="http://schemas.openxmlformats.org/officeDocument/2006/relationships/hyperlink" Target="https://www.teamrankings.com/college-football/team/charlotte-49ers" TargetMode="External"/><Relationship Id="rId123" Type="http://schemas.openxmlformats.org/officeDocument/2006/relationships/hyperlink" Target="https://www.teamrankings.com/college-football/team/old-dominion-monarchs" TargetMode="External"/><Relationship Id="rId122" Type="http://schemas.openxmlformats.org/officeDocument/2006/relationships/hyperlink" Target="https://www.teamrankings.com/college-football/team/boston-college-eagles" TargetMode="External"/><Relationship Id="rId95" Type="http://schemas.openxmlformats.org/officeDocument/2006/relationships/hyperlink" Target="https://www.teamrankings.com/college-football/team/unlv-rebels" TargetMode="External"/><Relationship Id="rId94" Type="http://schemas.openxmlformats.org/officeDocument/2006/relationships/hyperlink" Target="https://www.teamrankings.com/college-football/team/texas-am-aggies" TargetMode="External"/><Relationship Id="rId97" Type="http://schemas.openxmlformats.org/officeDocument/2006/relationships/hyperlink" Target="https://www.teamrankings.com/college-football/team/miami-hurricanes" TargetMode="External"/><Relationship Id="rId96" Type="http://schemas.openxmlformats.org/officeDocument/2006/relationships/hyperlink" Target="https://www.teamrankings.com/college-football/team/arizona-wildcats" TargetMode="External"/><Relationship Id="rId11" Type="http://schemas.openxmlformats.org/officeDocument/2006/relationships/hyperlink" Target="https://www.teamrankings.com/college-football/team/washington-huskies" TargetMode="External"/><Relationship Id="rId99" Type="http://schemas.openxmlformats.org/officeDocument/2006/relationships/hyperlink" Target="https://www.teamrankings.com/college-football/team/west-virginia-mountaineers" TargetMode="External"/><Relationship Id="rId10" Type="http://schemas.openxmlformats.org/officeDocument/2006/relationships/hyperlink" Target="https://www.teamrankings.com/college-football/team/penn-state-nittany-lions" TargetMode="External"/><Relationship Id="rId98" Type="http://schemas.openxmlformats.org/officeDocument/2006/relationships/hyperlink" Target="https://www.teamrankings.com/college-football/team/georgia-tech-yellow-jackets" TargetMode="External"/><Relationship Id="rId13" Type="http://schemas.openxmlformats.org/officeDocument/2006/relationships/hyperlink" Target="https://www.teamrankings.com/college-football/team/clemson-tigers" TargetMode="External"/><Relationship Id="rId12" Type="http://schemas.openxmlformats.org/officeDocument/2006/relationships/hyperlink" Target="https://www.teamrankings.com/college-football/team/usc-trojans" TargetMode="External"/><Relationship Id="rId91" Type="http://schemas.openxmlformats.org/officeDocument/2006/relationships/hyperlink" Target="https://www.teamrankings.com/college-football/team/vanderbilt-commodores" TargetMode="External"/><Relationship Id="rId90" Type="http://schemas.openxmlformats.org/officeDocument/2006/relationships/hyperlink" Target="https://www.teamrankings.com/college-football/team/utep-miners" TargetMode="External"/><Relationship Id="rId93" Type="http://schemas.openxmlformats.org/officeDocument/2006/relationships/hyperlink" Target="https://www.teamrankings.com/college-football/team/michigan-state-spartans" TargetMode="External"/><Relationship Id="rId92" Type="http://schemas.openxmlformats.org/officeDocument/2006/relationships/hyperlink" Target="https://www.teamrankings.com/college-football/team/auburn-tigers" TargetMode="External"/><Relationship Id="rId118" Type="http://schemas.openxmlformats.org/officeDocument/2006/relationships/hyperlink" Target="https://www.teamrankings.com/college-football/team/colorado-state-rams" TargetMode="External"/><Relationship Id="rId117" Type="http://schemas.openxmlformats.org/officeDocument/2006/relationships/hyperlink" Target="https://www.teamrankings.com/college-football/team/arkansas-state-red-wolves" TargetMode="External"/><Relationship Id="rId116" Type="http://schemas.openxmlformats.org/officeDocument/2006/relationships/hyperlink" Target="https://www.teamrankings.com/college-football/team/louisiana-tech-bulldogs" TargetMode="External"/><Relationship Id="rId115" Type="http://schemas.openxmlformats.org/officeDocument/2006/relationships/hyperlink" Target="https://www.teamrankings.com/college-football/team/northern-illinois-huskies" TargetMode="External"/><Relationship Id="rId119" Type="http://schemas.openxmlformats.org/officeDocument/2006/relationships/hyperlink" Target="https://www.teamrankings.com/college-football/team/stanford-cardinal" TargetMode="External"/><Relationship Id="rId15" Type="http://schemas.openxmlformats.org/officeDocument/2006/relationships/hyperlink" Target="https://www.teamrankings.com/college-football/team/air-force-falcons" TargetMode="External"/><Relationship Id="rId110" Type="http://schemas.openxmlformats.org/officeDocument/2006/relationships/hyperlink" Target="https://www.teamrankings.com/college-football/team/florida-international-panthers" TargetMode="External"/><Relationship Id="rId14" Type="http://schemas.openxmlformats.org/officeDocument/2006/relationships/hyperlink" Target="https://www.teamrankings.com/college-football/team/utsa-roadrunners" TargetMode="External"/><Relationship Id="rId17" Type="http://schemas.openxmlformats.org/officeDocument/2006/relationships/hyperlink" Target="https://www.teamrankings.com/college-football/team/oregon-ducks" TargetMode="External"/><Relationship Id="rId16" Type="http://schemas.openxmlformats.org/officeDocument/2006/relationships/hyperlink" Target="https://www.teamrankings.com/college-football/team/oregon-state-beavers" TargetMode="External"/><Relationship Id="rId19" Type="http://schemas.openxmlformats.org/officeDocument/2006/relationships/hyperlink" Target="https://www.teamrankings.com/college-football/team/south-alabama-jaguars" TargetMode="External"/><Relationship Id="rId114" Type="http://schemas.openxmlformats.org/officeDocument/2006/relationships/hyperlink" Target="https://www.teamrankings.com/college-football/team/virginia-tech-hokies" TargetMode="External"/><Relationship Id="rId18" Type="http://schemas.openxmlformats.org/officeDocument/2006/relationships/hyperlink" Target="https://www.teamrankings.com/college-football/team/florida-state-seminoles" TargetMode="External"/><Relationship Id="rId113" Type="http://schemas.openxmlformats.org/officeDocument/2006/relationships/hyperlink" Target="https://www.teamrankings.com/college-football/team/virginia-cavaliers" TargetMode="External"/><Relationship Id="rId112" Type="http://schemas.openxmlformats.org/officeDocument/2006/relationships/hyperlink" Target="https://www.teamrankings.com/college-football/team/georgia-state-panthers" TargetMode="External"/><Relationship Id="rId111" Type="http://schemas.openxmlformats.org/officeDocument/2006/relationships/hyperlink" Target="https://www.teamrankings.com/college-football/team/texas-state-bobcats" TargetMode="External"/><Relationship Id="rId84" Type="http://schemas.openxmlformats.org/officeDocument/2006/relationships/hyperlink" Target="https://www.teamrankings.com/college-football/team/connecticut-huskies" TargetMode="External"/><Relationship Id="rId83" Type="http://schemas.openxmlformats.org/officeDocument/2006/relationships/hyperlink" Target="https://www.teamrankings.com/college-football/team/utah-state-aggies" TargetMode="External"/><Relationship Id="rId86" Type="http://schemas.openxmlformats.org/officeDocument/2006/relationships/hyperlink" Target="https://www.teamrankings.com/college-football/team/western-michigan-broncos" TargetMode="External"/><Relationship Id="rId85" Type="http://schemas.openxmlformats.org/officeDocument/2006/relationships/hyperlink" Target="https://www.teamrankings.com/college-football/team/georgia-southern-eagles" TargetMode="External"/><Relationship Id="rId88" Type="http://schemas.openxmlformats.org/officeDocument/2006/relationships/hyperlink" Target="https://www.teamrankings.com/college-football/team/kent-state-golden-flashes" TargetMode="External"/><Relationship Id="rId87" Type="http://schemas.openxmlformats.org/officeDocument/2006/relationships/hyperlink" Target="https://www.teamrankings.com/college-football/team/ball-state-cardinals" TargetMode="External"/><Relationship Id="rId89" Type="http://schemas.openxmlformats.org/officeDocument/2006/relationships/hyperlink" Target="https://www.teamrankings.com/college-football/team/tulsa-golden-hurricane" TargetMode="External"/><Relationship Id="rId80" Type="http://schemas.openxmlformats.org/officeDocument/2006/relationships/hyperlink" Target="https://www.teamrankings.com/college-football/team/oklahoma-sooners" TargetMode="External"/><Relationship Id="rId82" Type="http://schemas.openxmlformats.org/officeDocument/2006/relationships/hyperlink" Target="https://www.teamrankings.com/college-football/team/louisiana-ragin-cajuns" TargetMode="External"/><Relationship Id="rId81" Type="http://schemas.openxmlformats.org/officeDocument/2006/relationships/hyperlink" Target="https://www.teamrankings.com/college-football/team/baylor-bears" TargetMode="External"/><Relationship Id="rId1" Type="http://schemas.openxmlformats.org/officeDocument/2006/relationships/hyperlink" Target="https://www.teamrankings.com/college-football/team/georgia-bulldogs" TargetMode="External"/><Relationship Id="rId2" Type="http://schemas.openxmlformats.org/officeDocument/2006/relationships/hyperlink" Target="https://www.teamrankings.com/college-football/team/delaware-fightin-blue-hens" TargetMode="External"/><Relationship Id="rId3" Type="http://schemas.openxmlformats.org/officeDocument/2006/relationships/hyperlink" Target="https://www.teamrankings.com/college-football/team/michigan-wolverines" TargetMode="External"/><Relationship Id="rId4" Type="http://schemas.openxmlformats.org/officeDocument/2006/relationships/hyperlink" Target="https://www.teamrankings.com/college-football/team/tcu-horned-frogs" TargetMode="External"/><Relationship Id="rId9" Type="http://schemas.openxmlformats.org/officeDocument/2006/relationships/hyperlink" Target="https://www.teamrankings.com/college-football/team/ohio-state-buckeyes" TargetMode="External"/><Relationship Id="rId5" Type="http://schemas.openxmlformats.org/officeDocument/2006/relationships/hyperlink" Target="https://www.teamrankings.com/college-football/team/tulane-green-wave" TargetMode="External"/><Relationship Id="rId6" Type="http://schemas.openxmlformats.org/officeDocument/2006/relationships/hyperlink" Target="https://www.teamrankings.com/college-football/team/troy-trojans" TargetMode="External"/><Relationship Id="rId7" Type="http://schemas.openxmlformats.org/officeDocument/2006/relationships/hyperlink" Target="https://www.teamrankings.com/college-football/team/tennessee-volunteers" TargetMode="External"/><Relationship Id="rId8" Type="http://schemas.openxmlformats.org/officeDocument/2006/relationships/hyperlink" Target="https://www.teamrankings.com/college-football/team/alabama-crimson-tide" TargetMode="External"/><Relationship Id="rId73" Type="http://schemas.openxmlformats.org/officeDocument/2006/relationships/hyperlink" Target="https://www.teamrankings.com/college-football/team/north-texas-mean-green" TargetMode="External"/><Relationship Id="rId72" Type="http://schemas.openxmlformats.org/officeDocument/2006/relationships/hyperlink" Target="https://www.teamrankings.com/college-football/team/army-black-knights" TargetMode="External"/><Relationship Id="rId75" Type="http://schemas.openxmlformats.org/officeDocument/2006/relationships/hyperlink" Target="https://www.teamrankings.com/college-football/team/bowling-green-falcons" TargetMode="External"/><Relationship Id="rId74" Type="http://schemas.openxmlformats.org/officeDocument/2006/relationships/hyperlink" Target="https://www.teamrankings.com/college-football/team/app-state-mountaineers" TargetMode="External"/><Relationship Id="rId77" Type="http://schemas.openxmlformats.org/officeDocument/2006/relationships/hyperlink" Target="https://www.teamrankings.com/college-football/team/florida-gators" TargetMode="External"/><Relationship Id="rId76" Type="http://schemas.openxmlformats.org/officeDocument/2006/relationships/hyperlink" Target="https://www.teamrankings.com/college-football/team/miami-oh-redhawks" TargetMode="External"/><Relationship Id="rId79" Type="http://schemas.openxmlformats.org/officeDocument/2006/relationships/hyperlink" Target="https://www.teamrankings.com/college-football/team/kansas-jayhawks" TargetMode="External"/><Relationship Id="rId78" Type="http://schemas.openxmlformats.org/officeDocument/2006/relationships/hyperlink" Target="https://www.teamrankings.com/college-football/team/missouri-tigers" TargetMode="External"/><Relationship Id="rId71" Type="http://schemas.openxmlformats.org/officeDocument/2006/relationships/hyperlink" Target="https://www.teamrankings.com/college-football/team/syracuse-orange" TargetMode="External"/><Relationship Id="rId70" Type="http://schemas.openxmlformats.org/officeDocument/2006/relationships/hyperlink" Target="https://www.teamrankings.com/college-football/team/washington-state-cougars" TargetMode="External"/><Relationship Id="rId137" Type="http://schemas.openxmlformats.org/officeDocument/2006/relationships/drawing" Target="../drawings/drawing4.xml"/><Relationship Id="rId132" Type="http://schemas.openxmlformats.org/officeDocument/2006/relationships/hyperlink" Target="https://www.teamrankings.com/college-football/team/massachusetts-minutemen" TargetMode="External"/><Relationship Id="rId131" Type="http://schemas.openxmlformats.org/officeDocument/2006/relationships/hyperlink" Target="https://www.teamrankings.com/college-football/team/south-florida-bulls" TargetMode="External"/><Relationship Id="rId130" Type="http://schemas.openxmlformats.org/officeDocument/2006/relationships/hyperlink" Target="https://www.teamrankings.com/college-football/team/colorado-buffaloes" TargetMode="External"/><Relationship Id="rId136" Type="http://schemas.openxmlformats.org/officeDocument/2006/relationships/hyperlink" Target="https://www.teamrankings.com/college-football/team/kennesaw-state-owls" TargetMode="External"/><Relationship Id="rId135" Type="http://schemas.openxmlformats.org/officeDocument/2006/relationships/hyperlink" Target="https://www.teamrankings.com/college-football/team/missouri-state-bears" TargetMode="External"/><Relationship Id="rId134" Type="http://schemas.openxmlformats.org/officeDocument/2006/relationships/hyperlink" Target="https://www.teamrankings.com/college-football/team/jacksonville-state-gamecocks" TargetMode="External"/><Relationship Id="rId133" Type="http://schemas.openxmlformats.org/officeDocument/2006/relationships/hyperlink" Target="https://www.teamrankings.com/college-football/team/sam-houston-bearkats" TargetMode="External"/><Relationship Id="rId62" Type="http://schemas.openxmlformats.org/officeDocument/2006/relationships/hyperlink" Target="https://www.teamrankings.com/college-football/team/wisconsin-badgers" TargetMode="External"/><Relationship Id="rId61" Type="http://schemas.openxmlformats.org/officeDocument/2006/relationships/hyperlink" Target="https://www.teamrankings.com/college-football/team/arkansas-razorbacks" TargetMode="External"/><Relationship Id="rId64" Type="http://schemas.openxmlformats.org/officeDocument/2006/relationships/hyperlink" Target="https://www.teamrankings.com/college-football/team/memphis-tigers" TargetMode="External"/><Relationship Id="rId63" Type="http://schemas.openxmlformats.org/officeDocument/2006/relationships/hyperlink" Target="https://www.teamrankings.com/college-football/team/oklahoma-state-cowboys" TargetMode="External"/><Relationship Id="rId66" Type="http://schemas.openxmlformats.org/officeDocument/2006/relationships/hyperlink" Target="https://www.teamrankings.com/college-football/team/southern-miss-golden-eagles" TargetMode="External"/><Relationship Id="rId65" Type="http://schemas.openxmlformats.org/officeDocument/2006/relationships/hyperlink" Target="https://www.teamrankings.com/college-football/team/uab-blazers" TargetMode="External"/><Relationship Id="rId68" Type="http://schemas.openxmlformats.org/officeDocument/2006/relationships/hyperlink" Target="https://www.teamrankings.com/college-football/team/wyoming-cowboys" TargetMode="External"/><Relationship Id="rId67" Type="http://schemas.openxmlformats.org/officeDocument/2006/relationships/hyperlink" Target="https://www.teamrankings.com/college-football/team/new-mexico-state-aggies" TargetMode="External"/><Relationship Id="rId60" Type="http://schemas.openxmlformats.org/officeDocument/2006/relationships/hyperlink" Target="https://www.teamrankings.com/college-football/team/kentucky-wildcats" TargetMode="External"/><Relationship Id="rId69" Type="http://schemas.openxmlformats.org/officeDocument/2006/relationships/hyperlink" Target="https://www.teamrankings.com/college-football/team/san-diego-state-aztecs" TargetMode="External"/><Relationship Id="rId51" Type="http://schemas.openxmlformats.org/officeDocument/2006/relationships/hyperlink" Target="https://www.teamrankings.com/college-football/team/byu-cougars" TargetMode="External"/><Relationship Id="rId50" Type="http://schemas.openxmlformats.org/officeDocument/2006/relationships/hyperlink" Target="https://www.teamrankings.com/college-football/team/middle-tennessee-blue-raiders" TargetMode="External"/><Relationship Id="rId53" Type="http://schemas.openxmlformats.org/officeDocument/2006/relationships/hyperlink" Target="https://www.teamrankings.com/college-football/team/nc-state-wolfpack" TargetMode="External"/><Relationship Id="rId52" Type="http://schemas.openxmlformats.org/officeDocument/2006/relationships/hyperlink" Target="https://www.teamrankings.com/college-football/team/wake-forest-demon-deacons" TargetMode="External"/><Relationship Id="rId55" Type="http://schemas.openxmlformats.org/officeDocument/2006/relationships/hyperlink" Target="https://www.teamrankings.com/college-football/team/liberty-flames" TargetMode="External"/><Relationship Id="rId54" Type="http://schemas.openxmlformats.org/officeDocument/2006/relationships/hyperlink" Target="https://www.teamrankings.com/college-football/team/maryland-terrapins" TargetMode="External"/><Relationship Id="rId57" Type="http://schemas.openxmlformats.org/officeDocument/2006/relationships/hyperlink" Target="https://www.teamrankings.com/college-football/team/purdue-boilermakers" TargetMode="External"/><Relationship Id="rId56" Type="http://schemas.openxmlformats.org/officeDocument/2006/relationships/hyperlink" Target="https://www.teamrankings.com/college-football/team/san-jose-state-spartans" TargetMode="External"/><Relationship Id="rId59" Type="http://schemas.openxmlformats.org/officeDocument/2006/relationships/hyperlink" Target="https://www.teamrankings.com/college-football/team/smu-mustangs" TargetMode="External"/><Relationship Id="rId58" Type="http://schemas.openxmlformats.org/officeDocument/2006/relationships/hyperlink" Target="https://www.teamrankings.com/college-football/team/buffalo-bull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ucla-bruins" TargetMode="External"/><Relationship Id="rId42" Type="http://schemas.openxmlformats.org/officeDocument/2006/relationships/hyperlink" Target="https://www.teamrankings.com/college-football/team/western-kentucky-hilltoppers" TargetMode="External"/><Relationship Id="rId41" Type="http://schemas.openxmlformats.org/officeDocument/2006/relationships/hyperlink" Target="https://www.teamrankings.com/college-football/team/northern-illinois-huskies" TargetMode="External"/><Relationship Id="rId44" Type="http://schemas.openxmlformats.org/officeDocument/2006/relationships/hyperlink" Target="https://www.teamrankings.com/college-football/team/nevada-wolf-pack" TargetMode="External"/><Relationship Id="rId43" Type="http://schemas.openxmlformats.org/officeDocument/2006/relationships/hyperlink" Target="https://www.teamrankings.com/college-football/team/western-michigan-broncos" TargetMode="External"/><Relationship Id="rId46" Type="http://schemas.openxmlformats.org/officeDocument/2006/relationships/hyperlink" Target="https://www.teamrankings.com/college-football/team/arizona-state-sun-devils" TargetMode="External"/><Relationship Id="rId45" Type="http://schemas.openxmlformats.org/officeDocument/2006/relationships/hyperlink" Target="https://www.teamrankings.com/college-football/team/kansas-state-wildcats" TargetMode="External"/><Relationship Id="rId107" Type="http://schemas.openxmlformats.org/officeDocument/2006/relationships/hyperlink" Target="https://www.teamrankings.com/college-football/team/ohio-bobcats" TargetMode="External"/><Relationship Id="rId106" Type="http://schemas.openxmlformats.org/officeDocument/2006/relationships/hyperlink" Target="https://www.teamrankings.com/college-football/team/texas-state-bobcats" TargetMode="External"/><Relationship Id="rId105" Type="http://schemas.openxmlformats.org/officeDocument/2006/relationships/hyperlink" Target="https://www.teamrankings.com/college-football/team/usc-trojans" TargetMode="External"/><Relationship Id="rId104" Type="http://schemas.openxmlformats.org/officeDocument/2006/relationships/hyperlink" Target="https://www.teamrankings.com/college-football/team/washington-huskies" TargetMode="External"/><Relationship Id="rId109" Type="http://schemas.openxmlformats.org/officeDocument/2006/relationships/hyperlink" Target="https://www.teamrankings.com/college-football/team/northwestern-wildcats" TargetMode="External"/><Relationship Id="rId108" Type="http://schemas.openxmlformats.org/officeDocument/2006/relationships/hyperlink" Target="https://www.teamrankings.com/college-football/team/louisiana-tech-bulldogs" TargetMode="External"/><Relationship Id="rId48" Type="http://schemas.openxmlformats.org/officeDocument/2006/relationships/hyperlink" Target="https://www.teamrankings.com/college-football/team/georgia-state-panthers" TargetMode="External"/><Relationship Id="rId47" Type="http://schemas.openxmlformats.org/officeDocument/2006/relationships/hyperlink" Target="https://www.teamrankings.com/college-football/team/liberty-flames" TargetMode="External"/><Relationship Id="rId49" Type="http://schemas.openxmlformats.org/officeDocument/2006/relationships/hyperlink" Target="https://www.teamrankings.com/college-football/team/boise-state-broncos" TargetMode="External"/><Relationship Id="rId103" Type="http://schemas.openxmlformats.org/officeDocument/2006/relationships/hyperlink" Target="https://www.teamrankings.com/college-football/team/ul-monroe-warhawks" TargetMode="External"/><Relationship Id="rId102" Type="http://schemas.openxmlformats.org/officeDocument/2006/relationships/hyperlink" Target="https://www.teamrankings.com/college-football/team/colorado-buffaloes" TargetMode="External"/><Relationship Id="rId101" Type="http://schemas.openxmlformats.org/officeDocument/2006/relationships/hyperlink" Target="https://www.teamrankings.com/college-football/team/navy-midshipmen" TargetMode="External"/><Relationship Id="rId100" Type="http://schemas.openxmlformats.org/officeDocument/2006/relationships/hyperlink" Target="https://www.teamrankings.com/college-football/team/rice-owls" TargetMode="External"/><Relationship Id="rId31" Type="http://schemas.openxmlformats.org/officeDocument/2006/relationships/hyperlink" Target="https://www.teamrankings.com/college-football/team/ucf-knights" TargetMode="External"/><Relationship Id="rId30" Type="http://schemas.openxmlformats.org/officeDocument/2006/relationships/hyperlink" Target="https://www.teamrankings.com/college-football/team/central-michigan-chippewas" TargetMode="External"/><Relationship Id="rId33" Type="http://schemas.openxmlformats.org/officeDocument/2006/relationships/hyperlink" Target="https://www.teamrankings.com/college-football/team/wisconsin-badgers" TargetMode="External"/><Relationship Id="rId32" Type="http://schemas.openxmlformats.org/officeDocument/2006/relationships/hyperlink" Target="https://www.teamrankings.com/college-football/team/arkansas-razorbacks" TargetMode="External"/><Relationship Id="rId35" Type="http://schemas.openxmlformats.org/officeDocument/2006/relationships/hyperlink" Target="https://www.teamrankings.com/college-football/team/purdue-boilermakers" TargetMode="External"/><Relationship Id="rId34" Type="http://schemas.openxmlformats.org/officeDocument/2006/relationships/hyperlink" Target="https://www.teamrankings.com/college-football/team/minnesota-golden-gophers" TargetMode="External"/><Relationship Id="rId37" Type="http://schemas.openxmlformats.org/officeDocument/2006/relationships/hyperlink" Target="https://www.teamrankings.com/college-football/team/army-black-knights" TargetMode="External"/><Relationship Id="rId36" Type="http://schemas.openxmlformats.org/officeDocument/2006/relationships/hyperlink" Target="https://www.teamrankings.com/college-football/team/uab-blazers" TargetMode="External"/><Relationship Id="rId39" Type="http://schemas.openxmlformats.org/officeDocument/2006/relationships/hyperlink" Target="https://www.teamrankings.com/college-football/team/texas-am-aggies" TargetMode="External"/><Relationship Id="rId38" Type="http://schemas.openxmlformats.org/officeDocument/2006/relationships/hyperlink" Target="https://www.teamrankings.com/college-football/team/smu-mustangs" TargetMode="External"/><Relationship Id="rId20" Type="http://schemas.openxmlformats.org/officeDocument/2006/relationships/hyperlink" Target="https://www.teamrankings.com/college-football/team/kentucky-wildcats" TargetMode="External"/><Relationship Id="rId22" Type="http://schemas.openxmlformats.org/officeDocument/2006/relationships/hyperlink" Target="https://www.teamrankings.com/college-football/team/air-force-falcons" TargetMode="External"/><Relationship Id="rId21" Type="http://schemas.openxmlformats.org/officeDocument/2006/relationships/hyperlink" Target="https://www.teamrankings.com/college-football/team/mississippi-rebels" TargetMode="External"/><Relationship Id="rId24" Type="http://schemas.openxmlformats.org/officeDocument/2006/relationships/hyperlink" Target="https://www.teamrankings.com/college-football/team/clemson-tigers" TargetMode="External"/><Relationship Id="rId23" Type="http://schemas.openxmlformats.org/officeDocument/2006/relationships/hyperlink" Target="https://www.teamrankings.com/college-football/team/byu-cougars" TargetMode="External"/><Relationship Id="rId129" Type="http://schemas.openxmlformats.org/officeDocument/2006/relationships/hyperlink" Target="https://www.teamrankings.com/college-football/team/connecticut-huskies" TargetMode="External"/><Relationship Id="rId128" Type="http://schemas.openxmlformats.org/officeDocument/2006/relationships/hyperlink" Target="https://www.teamrankings.com/college-football/team/arizona-wildcats" TargetMode="External"/><Relationship Id="rId127" Type="http://schemas.openxmlformats.org/officeDocument/2006/relationships/hyperlink" Target="https://www.teamrankings.com/college-football/team/unlv-rebels" TargetMode="External"/><Relationship Id="rId126" Type="http://schemas.openxmlformats.org/officeDocument/2006/relationships/hyperlink" Target="https://www.teamrankings.com/college-football/team/arkansas-state-red-wolves" TargetMode="External"/><Relationship Id="rId26" Type="http://schemas.openxmlformats.org/officeDocument/2006/relationships/hyperlink" Target="https://www.teamrankings.com/college-football/team/iowa-hawkeyes" TargetMode="External"/><Relationship Id="rId121" Type="http://schemas.openxmlformats.org/officeDocument/2006/relationships/hyperlink" Target="https://www.teamrankings.com/college-football/team/indiana-hoosiers" TargetMode="External"/><Relationship Id="rId25" Type="http://schemas.openxmlformats.org/officeDocument/2006/relationships/hyperlink" Target="https://www.teamrankings.com/college-football/team/nc-state-wolfpack" TargetMode="External"/><Relationship Id="rId120" Type="http://schemas.openxmlformats.org/officeDocument/2006/relationships/hyperlink" Target="https://www.teamrankings.com/college-football/team/vanderbilt-commodores" TargetMode="External"/><Relationship Id="rId28" Type="http://schemas.openxmlformats.org/officeDocument/2006/relationships/hyperlink" Target="https://www.teamrankings.com/college-football/team/oregon-ducks" TargetMode="External"/><Relationship Id="rId27" Type="http://schemas.openxmlformats.org/officeDocument/2006/relationships/hyperlink" Target="https://www.teamrankings.com/college-football/team/utah-utes" TargetMode="External"/><Relationship Id="rId125" Type="http://schemas.openxmlformats.org/officeDocument/2006/relationships/hyperlink" Target="https://www.teamrankings.com/college-football/team/new-mexico-state-aggies" TargetMode="External"/><Relationship Id="rId29" Type="http://schemas.openxmlformats.org/officeDocument/2006/relationships/hyperlink" Target="https://www.teamrankings.com/college-football/team/app-state-mountaineers" TargetMode="External"/><Relationship Id="rId124" Type="http://schemas.openxmlformats.org/officeDocument/2006/relationships/hyperlink" Target="https://www.teamrankings.com/college-football/team/tulane-green-wave" TargetMode="External"/><Relationship Id="rId123" Type="http://schemas.openxmlformats.org/officeDocument/2006/relationships/hyperlink" Target="https://www.teamrankings.com/college-football/team/south-florida-bulls" TargetMode="External"/><Relationship Id="rId122" Type="http://schemas.openxmlformats.org/officeDocument/2006/relationships/hyperlink" Target="https://www.teamrankings.com/college-football/team/kansas-jayhawks" TargetMode="External"/><Relationship Id="rId95" Type="http://schemas.openxmlformats.org/officeDocument/2006/relationships/hyperlink" Target="https://www.teamrankings.com/college-football/team/south-alabama-jaguars" TargetMode="External"/><Relationship Id="rId94" Type="http://schemas.openxmlformats.org/officeDocument/2006/relationships/hyperlink" Target="https://www.teamrankings.com/college-football/team/florida-atlantic-owls" TargetMode="External"/><Relationship Id="rId97" Type="http://schemas.openxmlformats.org/officeDocument/2006/relationships/hyperlink" Target="https://www.teamrankings.com/college-football/team/rutgers-scarlet-knights" TargetMode="External"/><Relationship Id="rId96" Type="http://schemas.openxmlformats.org/officeDocument/2006/relationships/hyperlink" Target="https://www.teamrankings.com/college-football/team/charlotte-49ers" TargetMode="External"/><Relationship Id="rId11" Type="http://schemas.openxmlformats.org/officeDocument/2006/relationships/hyperlink" Target="https://www.teamrankings.com/college-football/team/notre-dame-fighting-irish" TargetMode="External"/><Relationship Id="rId99" Type="http://schemas.openxmlformats.org/officeDocument/2006/relationships/hyperlink" Target="https://www.teamrankings.com/college-football/team/buffalo-bulls" TargetMode="External"/><Relationship Id="rId10" Type="http://schemas.openxmlformats.org/officeDocument/2006/relationships/hyperlink" Target="https://www.teamrankings.com/college-football/team/utsa-roadrunners" TargetMode="External"/><Relationship Id="rId98" Type="http://schemas.openxmlformats.org/officeDocument/2006/relationships/hyperlink" Target="https://www.teamrankings.com/college-football/team/bowling-green-falcons" TargetMode="External"/><Relationship Id="rId13" Type="http://schemas.openxmlformats.org/officeDocument/2006/relationships/hyperlink" Target="https://www.teamrankings.com/college-football/team/michigan-state-spartans" TargetMode="External"/><Relationship Id="rId12" Type="http://schemas.openxmlformats.org/officeDocument/2006/relationships/hyperlink" Target="https://www.teamrankings.com/college-football/team/ohio-state-buckeyes" TargetMode="External"/><Relationship Id="rId91" Type="http://schemas.openxmlformats.org/officeDocument/2006/relationships/hyperlink" Target="https://www.teamrankings.com/college-football/team/california-golden-bears" TargetMode="External"/><Relationship Id="rId90" Type="http://schemas.openxmlformats.org/officeDocument/2006/relationships/hyperlink" Target="https://www.teamrankings.com/college-football/team/troy-trojans" TargetMode="External"/><Relationship Id="rId93" Type="http://schemas.openxmlformats.org/officeDocument/2006/relationships/hyperlink" Target="https://www.teamrankings.com/college-football/team/syracuse-orange" TargetMode="External"/><Relationship Id="rId92" Type="http://schemas.openxmlformats.org/officeDocument/2006/relationships/hyperlink" Target="https://www.teamrankings.com/college-football/team/florida-state-seminoles" TargetMode="External"/><Relationship Id="rId118" Type="http://schemas.openxmlformats.org/officeDocument/2006/relationships/hyperlink" Target="https://www.teamrankings.com/college-football/team/georgia-southern-eagles" TargetMode="External"/><Relationship Id="rId117" Type="http://schemas.openxmlformats.org/officeDocument/2006/relationships/hyperlink" Target="https://www.teamrankings.com/college-football/team/temple-owls" TargetMode="External"/><Relationship Id="rId116" Type="http://schemas.openxmlformats.org/officeDocument/2006/relationships/hyperlink" Target="https://www.teamrankings.com/college-football/team/georgia-tech-yellow-jackets" TargetMode="External"/><Relationship Id="rId115" Type="http://schemas.openxmlformats.org/officeDocument/2006/relationships/hyperlink" Target="https://www.teamrankings.com/college-football/team/duke-blue-devils" TargetMode="External"/><Relationship Id="rId119" Type="http://schemas.openxmlformats.org/officeDocument/2006/relationships/hyperlink" Target="https://www.teamrankings.com/college-football/team/akron-zips" TargetMode="External"/><Relationship Id="rId15" Type="http://schemas.openxmlformats.org/officeDocument/2006/relationships/hyperlink" Target="https://www.teamrankings.com/college-football/team/coastal-carolina-chanticleers" TargetMode="External"/><Relationship Id="rId110" Type="http://schemas.openxmlformats.org/officeDocument/2006/relationships/hyperlink" Target="https://www.teamrankings.com/college-football/team/nebraska-cornhuskers" TargetMode="External"/><Relationship Id="rId14" Type="http://schemas.openxmlformats.org/officeDocument/2006/relationships/hyperlink" Target="https://www.teamrankings.com/college-football/team/oklahoma-sooners" TargetMode="External"/><Relationship Id="rId17" Type="http://schemas.openxmlformats.org/officeDocument/2006/relationships/hyperlink" Target="https://www.teamrankings.com/college-football/team/wake-forest-demon-deacons" TargetMode="External"/><Relationship Id="rId16" Type="http://schemas.openxmlformats.org/officeDocument/2006/relationships/hyperlink" Target="https://www.teamrankings.com/college-football/team/utah-state-aggies" TargetMode="External"/><Relationship Id="rId19" Type="http://schemas.openxmlformats.org/officeDocument/2006/relationships/hyperlink" Target="https://www.teamrankings.com/college-football/team/fresno-state-bulldogs" TargetMode="External"/><Relationship Id="rId114" Type="http://schemas.openxmlformats.org/officeDocument/2006/relationships/hyperlink" Target="https://www.teamrankings.com/college-football/team/stanford-cardinal" TargetMode="External"/><Relationship Id="rId18" Type="http://schemas.openxmlformats.org/officeDocument/2006/relationships/hyperlink" Target="https://www.teamrankings.com/college-football/team/pittsburgh-panthers" TargetMode="External"/><Relationship Id="rId113" Type="http://schemas.openxmlformats.org/officeDocument/2006/relationships/hyperlink" Target="https://www.teamrankings.com/college-football/team/colorado-state-rams" TargetMode="External"/><Relationship Id="rId112" Type="http://schemas.openxmlformats.org/officeDocument/2006/relationships/hyperlink" Target="https://www.teamrankings.com/college-football/team/new-mexico-lobos" TargetMode="External"/><Relationship Id="rId111" Type="http://schemas.openxmlformats.org/officeDocument/2006/relationships/hyperlink" Target="https://www.teamrankings.com/college-football/team/southern-miss-golden-eagles" TargetMode="External"/><Relationship Id="rId84" Type="http://schemas.openxmlformats.org/officeDocument/2006/relationships/hyperlink" Target="https://www.teamrankings.com/college-football/team/west-virginia-mountaineers" TargetMode="External"/><Relationship Id="rId83" Type="http://schemas.openxmlformats.org/officeDocument/2006/relationships/hyperlink" Target="https://www.teamrankings.com/college-football/team/virginia-tech-hokies" TargetMode="External"/><Relationship Id="rId86" Type="http://schemas.openxmlformats.org/officeDocument/2006/relationships/hyperlink" Target="https://www.teamrankings.com/college-football/team/san-jose-state-spartans" TargetMode="External"/><Relationship Id="rId85" Type="http://schemas.openxmlformats.org/officeDocument/2006/relationships/hyperlink" Target="https://www.teamrankings.com/college-football/team/old-dominion-monarchs" TargetMode="External"/><Relationship Id="rId88" Type="http://schemas.openxmlformats.org/officeDocument/2006/relationships/hyperlink" Target="https://www.teamrankings.com/college-football/team/texas-longhorns" TargetMode="External"/><Relationship Id="rId87" Type="http://schemas.openxmlformats.org/officeDocument/2006/relationships/hyperlink" Target="https://www.teamrankings.com/college-football/team/illinois-fighting-illini" TargetMode="External"/><Relationship Id="rId89" Type="http://schemas.openxmlformats.org/officeDocument/2006/relationships/hyperlink" Target="https://www.teamrankings.com/college-football/team/tcu-horned-frogs" TargetMode="External"/><Relationship Id="rId80" Type="http://schemas.openxmlformats.org/officeDocument/2006/relationships/hyperlink" Target="https://www.teamrankings.com/college-football/team/louisville-cardinals" TargetMode="External"/><Relationship Id="rId82" Type="http://schemas.openxmlformats.org/officeDocument/2006/relationships/hyperlink" Target="https://www.teamrankings.com/college-football/team/north-carolina-tar-heels" TargetMode="External"/><Relationship Id="rId81" Type="http://schemas.openxmlformats.org/officeDocument/2006/relationships/hyperlink" Target="https://www.teamrankings.com/college-football/team/north-texas-mean-green" TargetMode="External"/><Relationship Id="rId1" Type="http://schemas.openxmlformats.org/officeDocument/2006/relationships/hyperlink" Target="https://www.teamrankings.com/college-football/team/georgia-bulldogs" TargetMode="External"/><Relationship Id="rId2" Type="http://schemas.openxmlformats.org/officeDocument/2006/relationships/hyperlink" Target="https://www.teamrankings.com/college-football/team/cincinnati-bearcats" TargetMode="External"/><Relationship Id="rId3" Type="http://schemas.openxmlformats.org/officeDocument/2006/relationships/hyperlink" Target="https://www.teamrankings.com/college-football/team/louisiana-ragin-cajuns" TargetMode="External"/><Relationship Id="rId4" Type="http://schemas.openxmlformats.org/officeDocument/2006/relationships/hyperlink" Target="https://www.teamrankings.com/college-football/team/alabama-crimson-tide" TargetMode="External"/><Relationship Id="rId9" Type="http://schemas.openxmlformats.org/officeDocument/2006/relationships/hyperlink" Target="https://www.teamrankings.com/college-football/team/san-diego-state-aztecs" TargetMode="External"/><Relationship Id="rId5" Type="http://schemas.openxmlformats.org/officeDocument/2006/relationships/hyperlink" Target="https://www.teamrankings.com/college-football/team/michigan-wolverines" TargetMode="External"/><Relationship Id="rId6" Type="http://schemas.openxmlformats.org/officeDocument/2006/relationships/hyperlink" Target="https://www.teamrankings.com/college-football/team/baylor-bears" TargetMode="External"/><Relationship Id="rId7" Type="http://schemas.openxmlformats.org/officeDocument/2006/relationships/hyperlink" Target="https://www.teamrankings.com/college-football/team/oklahoma-state-cowboys" TargetMode="External"/><Relationship Id="rId8" Type="http://schemas.openxmlformats.org/officeDocument/2006/relationships/hyperlink" Target="https://www.teamrankings.com/college-football/team/houston-cougars" TargetMode="External"/><Relationship Id="rId73" Type="http://schemas.openxmlformats.org/officeDocument/2006/relationships/hyperlink" Target="https://www.teamrankings.com/college-football/team/jacksonville-state-gamecocks" TargetMode="External"/><Relationship Id="rId72" Type="http://schemas.openxmlformats.org/officeDocument/2006/relationships/hyperlink" Target="https://www.teamrankings.com/college-football/team/boston-college-eagles" TargetMode="External"/><Relationship Id="rId75" Type="http://schemas.openxmlformats.org/officeDocument/2006/relationships/hyperlink" Target="https://www.teamrankings.com/college-football/team/hawaii-rainbow-warriors" TargetMode="External"/><Relationship Id="rId74" Type="http://schemas.openxmlformats.org/officeDocument/2006/relationships/hyperlink" Target="https://www.teamrankings.com/college-football/team/ball-state-cardinals" TargetMode="External"/><Relationship Id="rId77" Type="http://schemas.openxmlformats.org/officeDocument/2006/relationships/hyperlink" Target="https://www.teamrankings.com/college-football/team/louisiana-state-tigers" TargetMode="External"/><Relationship Id="rId76" Type="http://schemas.openxmlformats.org/officeDocument/2006/relationships/hyperlink" Target="https://www.teamrankings.com/college-football/team/florida-gators" TargetMode="External"/><Relationship Id="rId79" Type="http://schemas.openxmlformats.org/officeDocument/2006/relationships/hyperlink" Target="https://www.teamrankings.com/college-football/team/missouri-tigers" TargetMode="External"/><Relationship Id="rId78" Type="http://schemas.openxmlformats.org/officeDocument/2006/relationships/hyperlink" Target="https://www.teamrankings.com/college-football/team/auburn-tigers" TargetMode="External"/><Relationship Id="rId71" Type="http://schemas.openxmlformats.org/officeDocument/2006/relationships/hyperlink" Target="https://www.teamrankings.com/college-football/team/virginia-cavaliers" TargetMode="External"/><Relationship Id="rId70" Type="http://schemas.openxmlformats.org/officeDocument/2006/relationships/hyperlink" Target="https://www.teamrankings.com/college-football/team/memphis-tigers" TargetMode="External"/><Relationship Id="rId132" Type="http://schemas.openxmlformats.org/officeDocument/2006/relationships/hyperlink" Target="https://www.teamrankings.com/college-football/team/delaware-fightin-blue-hens" TargetMode="External"/><Relationship Id="rId131" Type="http://schemas.openxmlformats.org/officeDocument/2006/relationships/hyperlink" Target="https://www.teamrankings.com/college-football/team/florida-international-panthers" TargetMode="External"/><Relationship Id="rId130" Type="http://schemas.openxmlformats.org/officeDocument/2006/relationships/hyperlink" Target="https://www.teamrankings.com/college-football/team/massachusetts-minutemen" TargetMode="External"/><Relationship Id="rId135" Type="http://schemas.openxmlformats.org/officeDocument/2006/relationships/drawing" Target="../drawings/drawing5.xml"/><Relationship Id="rId134" Type="http://schemas.openxmlformats.org/officeDocument/2006/relationships/hyperlink" Target="https://www.teamrankings.com/college-football/team/kennesaw-state-owl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iowa-state-cyclones" TargetMode="External"/><Relationship Id="rId61" Type="http://schemas.openxmlformats.org/officeDocument/2006/relationships/hyperlink" Target="https://www.teamrankings.com/college-football/team/penn-state-nittany-lions" TargetMode="External"/><Relationship Id="rId64" Type="http://schemas.openxmlformats.org/officeDocument/2006/relationships/hyperlink" Target="https://www.teamrankings.com/college-football/team/middle-tennessee-blue-raiders" TargetMode="External"/><Relationship Id="rId63" Type="http://schemas.openxmlformats.org/officeDocument/2006/relationships/hyperlink" Target="https://www.teamrankings.com/college-football/team/texas-tech-red-raiders" TargetMode="External"/><Relationship Id="rId66" Type="http://schemas.openxmlformats.org/officeDocument/2006/relationships/hyperlink" Target="https://www.teamrankings.com/college-football/team/washington-state-cougars" TargetMode="External"/><Relationship Id="rId65" Type="http://schemas.openxmlformats.org/officeDocument/2006/relationships/hyperlink" Target="https://www.teamrankings.com/college-football/team/wyoming-cowboys" TargetMode="External"/><Relationship Id="rId68" Type="http://schemas.openxmlformats.org/officeDocument/2006/relationships/hyperlink" Target="https://www.teamrankings.com/college-football/team/maryland-terrapins" TargetMode="External"/><Relationship Id="rId67" Type="http://schemas.openxmlformats.org/officeDocument/2006/relationships/hyperlink" Target="https://www.teamrankings.com/college-football/team/oregon-state-beavers" TargetMode="External"/><Relationship Id="rId60" Type="http://schemas.openxmlformats.org/officeDocument/2006/relationships/hyperlink" Target="https://www.teamrankings.com/college-football/team/mississippi-state-bulldogs" TargetMode="External"/><Relationship Id="rId69" Type="http://schemas.openxmlformats.org/officeDocument/2006/relationships/hyperlink" Target="https://www.teamrankings.com/college-football/team/kent-state-golden-flashes" TargetMode="External"/><Relationship Id="rId51" Type="http://schemas.openxmlformats.org/officeDocument/2006/relationships/hyperlink" Target="https://www.teamrankings.com/college-football/team/miami-hurricanes" TargetMode="External"/><Relationship Id="rId50" Type="http://schemas.openxmlformats.org/officeDocument/2006/relationships/hyperlink" Target="https://www.teamrankings.com/college-football/team/east-carolina-pirates" TargetMode="External"/><Relationship Id="rId53" Type="http://schemas.openxmlformats.org/officeDocument/2006/relationships/hyperlink" Target="https://www.teamrankings.com/college-football/team/toledo-rockets" TargetMode="External"/><Relationship Id="rId52" Type="http://schemas.openxmlformats.org/officeDocument/2006/relationships/hyperlink" Target="https://www.teamrankings.com/college-football/team/eastern-michigan-eagles" TargetMode="External"/><Relationship Id="rId55" Type="http://schemas.openxmlformats.org/officeDocument/2006/relationships/hyperlink" Target="https://www.teamrankings.com/college-football/team/marshall-thundering-herd" TargetMode="External"/><Relationship Id="rId54" Type="http://schemas.openxmlformats.org/officeDocument/2006/relationships/hyperlink" Target="https://www.teamrankings.com/college-football/team/miami-oh-redhawks" TargetMode="External"/><Relationship Id="rId57" Type="http://schemas.openxmlformats.org/officeDocument/2006/relationships/hyperlink" Target="https://www.teamrankings.com/college-football/team/utep-miners" TargetMode="External"/><Relationship Id="rId56" Type="http://schemas.openxmlformats.org/officeDocument/2006/relationships/hyperlink" Target="https://www.teamrankings.com/college-football/team/tulsa-golden-hurricane" TargetMode="External"/><Relationship Id="rId59" Type="http://schemas.openxmlformats.org/officeDocument/2006/relationships/hyperlink" Target="https://www.teamrankings.com/college-football/team/tennessee-volunteers" TargetMode="External"/><Relationship Id="rId58" Type="http://schemas.openxmlformats.org/officeDocument/2006/relationships/hyperlink" Target="https://www.teamrankings.com/college-football/team/south-carolina-gamecock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uab-blazers" TargetMode="External"/><Relationship Id="rId42" Type="http://schemas.openxmlformats.org/officeDocument/2006/relationships/hyperlink" Target="https://www.teamrankings.com/college-football/team/nc-state-wolfpack" TargetMode="External"/><Relationship Id="rId41" Type="http://schemas.openxmlformats.org/officeDocument/2006/relationships/hyperlink" Target="https://www.teamrankings.com/college-football/team/stanford-cardinal" TargetMode="External"/><Relationship Id="rId44" Type="http://schemas.openxmlformats.org/officeDocument/2006/relationships/hyperlink" Target="https://www.teamrankings.com/college-football/team/georgia-southern-eagles" TargetMode="External"/><Relationship Id="rId43" Type="http://schemas.openxmlformats.org/officeDocument/2006/relationships/hyperlink" Target="https://www.teamrankings.com/college-football/team/north-carolina-tar-heels" TargetMode="External"/><Relationship Id="rId46" Type="http://schemas.openxmlformats.org/officeDocument/2006/relationships/hyperlink" Target="https://www.teamrankings.com/college-football/team/tcu-horned-frogs" TargetMode="External"/><Relationship Id="rId45" Type="http://schemas.openxmlformats.org/officeDocument/2006/relationships/hyperlink" Target="https://www.teamrankings.com/college-football/team/ucf-knights" TargetMode="External"/><Relationship Id="rId107" Type="http://schemas.openxmlformats.org/officeDocument/2006/relationships/hyperlink" Target="https://www.teamrankings.com/college-football/team/illinois-fighting-illini" TargetMode="External"/><Relationship Id="rId106" Type="http://schemas.openxmlformats.org/officeDocument/2006/relationships/hyperlink" Target="https://www.teamrankings.com/college-football/team/oregon-state-beavers" TargetMode="External"/><Relationship Id="rId105" Type="http://schemas.openxmlformats.org/officeDocument/2006/relationships/hyperlink" Target="https://www.teamrankings.com/college-football/team/new-mexico-lobos" TargetMode="External"/><Relationship Id="rId104" Type="http://schemas.openxmlformats.org/officeDocument/2006/relationships/hyperlink" Target="https://www.teamrankings.com/college-football/team/michigan-state-spartans" TargetMode="External"/><Relationship Id="rId109" Type="http://schemas.openxmlformats.org/officeDocument/2006/relationships/hyperlink" Target="https://www.teamrankings.com/college-football/team/california-golden-bears" TargetMode="External"/><Relationship Id="rId108" Type="http://schemas.openxmlformats.org/officeDocument/2006/relationships/hyperlink" Target="https://www.teamrankings.com/college-football/team/colorado-state-rams" TargetMode="External"/><Relationship Id="rId48" Type="http://schemas.openxmlformats.org/officeDocument/2006/relationships/hyperlink" Target="https://www.teamrankings.com/college-football/team/west-virginia-mountaineers" TargetMode="External"/><Relationship Id="rId47" Type="http://schemas.openxmlformats.org/officeDocument/2006/relationships/hyperlink" Target="https://www.teamrankings.com/college-football/team/utah-utes" TargetMode="External"/><Relationship Id="rId49" Type="http://schemas.openxmlformats.org/officeDocument/2006/relationships/hyperlink" Target="https://www.teamrankings.com/college-football/team/georgia-state-panthers" TargetMode="External"/><Relationship Id="rId103" Type="http://schemas.openxmlformats.org/officeDocument/2006/relationships/hyperlink" Target="https://www.teamrankings.com/college-football/team/georgia-tech-yellow-jackets" TargetMode="External"/><Relationship Id="rId102" Type="http://schemas.openxmlformats.org/officeDocument/2006/relationships/hyperlink" Target="https://www.teamrankings.com/college-football/team/southern-miss-golden-eagles" TargetMode="External"/><Relationship Id="rId101" Type="http://schemas.openxmlformats.org/officeDocument/2006/relationships/hyperlink" Target="https://www.teamrankings.com/college-football/team/arkansas-razorbacks" TargetMode="External"/><Relationship Id="rId100" Type="http://schemas.openxmlformats.org/officeDocument/2006/relationships/hyperlink" Target="https://www.teamrankings.com/college-football/team/tennessee-volunteers" TargetMode="External"/><Relationship Id="rId31" Type="http://schemas.openxmlformats.org/officeDocument/2006/relationships/hyperlink" Target="https://www.teamrankings.com/college-football/team/smu-mustangs" TargetMode="External"/><Relationship Id="rId30" Type="http://schemas.openxmlformats.org/officeDocument/2006/relationships/hyperlink" Target="https://www.teamrankings.com/college-football/team/marshall-thundering-herd" TargetMode="External"/><Relationship Id="rId33" Type="http://schemas.openxmlformats.org/officeDocument/2006/relationships/hyperlink" Target="https://www.teamrankings.com/college-football/team/western-michigan-broncos" TargetMode="External"/><Relationship Id="rId32" Type="http://schemas.openxmlformats.org/officeDocument/2006/relationships/hyperlink" Target="https://www.teamrankings.com/college-football/team/texas-longhorns" TargetMode="External"/><Relationship Id="rId35" Type="http://schemas.openxmlformats.org/officeDocument/2006/relationships/hyperlink" Target="https://www.teamrankings.com/college-football/team/miami-oh-redhawks" TargetMode="External"/><Relationship Id="rId34" Type="http://schemas.openxmlformats.org/officeDocument/2006/relationships/hyperlink" Target="https://www.teamrankings.com/college-football/team/toledo-rockets" TargetMode="External"/><Relationship Id="rId37" Type="http://schemas.openxmlformats.org/officeDocument/2006/relationships/hyperlink" Target="https://www.teamrankings.com/college-football/team/tulsa-golden-hurricane" TargetMode="External"/><Relationship Id="rId36" Type="http://schemas.openxmlformats.org/officeDocument/2006/relationships/hyperlink" Target="https://www.teamrankings.com/college-football/team/ohio-bobcats" TargetMode="External"/><Relationship Id="rId39" Type="http://schemas.openxmlformats.org/officeDocument/2006/relationships/hyperlink" Target="https://www.teamrankings.com/college-football/team/colorado-buffaloes" TargetMode="External"/><Relationship Id="rId38" Type="http://schemas.openxmlformats.org/officeDocument/2006/relationships/hyperlink" Target="https://www.teamrankings.com/college-football/team/florida-gators" TargetMode="External"/><Relationship Id="rId20" Type="http://schemas.openxmlformats.org/officeDocument/2006/relationships/hyperlink" Target="https://www.teamrankings.com/college-football/team/indiana-hoosiers" TargetMode="External"/><Relationship Id="rId22" Type="http://schemas.openxmlformats.org/officeDocument/2006/relationships/hyperlink" Target="https://www.teamrankings.com/college-football/team/iowa-state-cyclones" TargetMode="External"/><Relationship Id="rId21" Type="http://schemas.openxmlformats.org/officeDocument/2006/relationships/hyperlink" Target="https://www.teamrankings.com/college-football/team/iowa-hawkeyes" TargetMode="External"/><Relationship Id="rId24" Type="http://schemas.openxmlformats.org/officeDocument/2006/relationships/hyperlink" Target="https://www.teamrankings.com/college-football/team/washington-huskies" TargetMode="External"/><Relationship Id="rId23" Type="http://schemas.openxmlformats.org/officeDocument/2006/relationships/hyperlink" Target="https://www.teamrankings.com/college-football/team/army-black-knights" TargetMode="External"/><Relationship Id="rId129" Type="http://schemas.openxmlformats.org/officeDocument/2006/relationships/hyperlink" Target="https://www.teamrankings.com/college-football/team/missouri-state-bears" TargetMode="External"/><Relationship Id="rId128" Type="http://schemas.openxmlformats.org/officeDocument/2006/relationships/hyperlink" Target="https://www.teamrankings.com/college-football/team/florida-international-panthers" TargetMode="External"/><Relationship Id="rId127" Type="http://schemas.openxmlformats.org/officeDocument/2006/relationships/hyperlink" Target="https://www.teamrankings.com/college-football/team/massachusetts-minutemen" TargetMode="External"/><Relationship Id="rId126" Type="http://schemas.openxmlformats.org/officeDocument/2006/relationships/hyperlink" Target="https://www.teamrankings.com/college-football/team/arizona-wildcats" TargetMode="External"/><Relationship Id="rId26" Type="http://schemas.openxmlformats.org/officeDocument/2006/relationships/hyperlink" Target="https://www.teamrankings.com/college-football/team/oklahoma-state-cowboys" TargetMode="External"/><Relationship Id="rId121" Type="http://schemas.openxmlformats.org/officeDocument/2006/relationships/hyperlink" Target="https://www.teamrankings.com/college-football/team/bowling-green-falcons" TargetMode="External"/><Relationship Id="rId25" Type="http://schemas.openxmlformats.org/officeDocument/2006/relationships/hyperlink" Target="https://www.teamrankings.com/college-football/team/app-state-mountaineers" TargetMode="External"/><Relationship Id="rId120" Type="http://schemas.openxmlformats.org/officeDocument/2006/relationships/hyperlink" Target="https://www.teamrankings.com/college-football/team/northern-illinois-huskies" TargetMode="External"/><Relationship Id="rId28" Type="http://schemas.openxmlformats.org/officeDocument/2006/relationships/hyperlink" Target="https://www.teamrankings.com/college-football/team/miami-hurricanes" TargetMode="External"/><Relationship Id="rId27" Type="http://schemas.openxmlformats.org/officeDocument/2006/relationships/hyperlink" Target="https://www.teamrankings.com/college-football/team/memphis-tigers" TargetMode="External"/><Relationship Id="rId125" Type="http://schemas.openxmlformats.org/officeDocument/2006/relationships/hyperlink" Target="https://www.teamrankings.com/college-football/team/unlv-rebels" TargetMode="External"/><Relationship Id="rId29" Type="http://schemas.openxmlformats.org/officeDocument/2006/relationships/hyperlink" Target="https://www.teamrankings.com/college-football/team/boise-state-broncos" TargetMode="External"/><Relationship Id="rId124" Type="http://schemas.openxmlformats.org/officeDocument/2006/relationships/hyperlink" Target="https://www.teamrankings.com/college-football/team/ul-monroe-warhawks" TargetMode="External"/><Relationship Id="rId123" Type="http://schemas.openxmlformats.org/officeDocument/2006/relationships/hyperlink" Target="https://www.teamrankings.com/college-football/team/kansas-jayhawks" TargetMode="External"/><Relationship Id="rId122" Type="http://schemas.openxmlformats.org/officeDocument/2006/relationships/hyperlink" Target="https://www.teamrankings.com/college-football/team/vanderbilt-commodores" TargetMode="External"/><Relationship Id="rId95" Type="http://schemas.openxmlformats.org/officeDocument/2006/relationships/hyperlink" Target="https://www.teamrankings.com/college-football/team/wyoming-cowboys" TargetMode="External"/><Relationship Id="rId94" Type="http://schemas.openxmlformats.org/officeDocument/2006/relationships/hyperlink" Target="https://www.teamrankings.com/college-football/team/middle-tennessee-blue-raiders" TargetMode="External"/><Relationship Id="rId97" Type="http://schemas.openxmlformats.org/officeDocument/2006/relationships/hyperlink" Target="https://www.teamrankings.com/college-football/team/rutgers-scarlet-knights" TargetMode="External"/><Relationship Id="rId96" Type="http://schemas.openxmlformats.org/officeDocument/2006/relationships/hyperlink" Target="https://www.teamrankings.com/college-football/team/florida-state-seminoles" TargetMode="External"/><Relationship Id="rId11" Type="http://schemas.openxmlformats.org/officeDocument/2006/relationships/hyperlink" Target="https://www.teamrankings.com/college-football/team/buffalo-bulls" TargetMode="External"/><Relationship Id="rId99" Type="http://schemas.openxmlformats.org/officeDocument/2006/relationships/hyperlink" Target="https://www.teamrankings.com/college-football/team/navy-midshipmen" TargetMode="External"/><Relationship Id="rId10" Type="http://schemas.openxmlformats.org/officeDocument/2006/relationships/hyperlink" Target="https://www.teamrankings.com/college-football/team/ohio-state-buckeyes" TargetMode="External"/><Relationship Id="rId98" Type="http://schemas.openxmlformats.org/officeDocument/2006/relationships/hyperlink" Target="https://www.teamrankings.com/college-football/team/charlotte-49ers" TargetMode="External"/><Relationship Id="rId13" Type="http://schemas.openxmlformats.org/officeDocument/2006/relationships/hyperlink" Target="https://www.teamrankings.com/college-football/team/usc-trojans" TargetMode="External"/><Relationship Id="rId12" Type="http://schemas.openxmlformats.org/officeDocument/2006/relationships/hyperlink" Target="https://www.teamrankings.com/college-football/team/notre-dame-fighting-irish" TargetMode="External"/><Relationship Id="rId91" Type="http://schemas.openxmlformats.org/officeDocument/2006/relationships/hyperlink" Target="https://www.teamrankings.com/college-football/team/michigan-wolverines" TargetMode="External"/><Relationship Id="rId90" Type="http://schemas.openxmlformats.org/officeDocument/2006/relationships/hyperlink" Target="https://www.teamrankings.com/college-football/team/eastern-michigan-eagles" TargetMode="External"/><Relationship Id="rId93" Type="http://schemas.openxmlformats.org/officeDocument/2006/relationships/hyperlink" Target="https://www.teamrankings.com/college-football/team/east-carolina-pirates" TargetMode="External"/><Relationship Id="rId92" Type="http://schemas.openxmlformats.org/officeDocument/2006/relationships/hyperlink" Target="https://www.teamrankings.com/college-football/team/purdue-boilermakers" TargetMode="External"/><Relationship Id="rId118" Type="http://schemas.openxmlformats.org/officeDocument/2006/relationships/hyperlink" Target="https://www.teamrankings.com/college-football/team/south-florida-bulls" TargetMode="External"/><Relationship Id="rId117" Type="http://schemas.openxmlformats.org/officeDocument/2006/relationships/hyperlink" Target="https://www.teamrankings.com/college-football/team/temple-owls" TargetMode="External"/><Relationship Id="rId116" Type="http://schemas.openxmlformats.org/officeDocument/2006/relationships/hyperlink" Target="https://www.teamrankings.com/college-football/team/texas-state-bobcats" TargetMode="External"/><Relationship Id="rId115" Type="http://schemas.openxmlformats.org/officeDocument/2006/relationships/hyperlink" Target="https://www.teamrankings.com/college-football/team/utah-state-aggies" TargetMode="External"/><Relationship Id="rId119" Type="http://schemas.openxmlformats.org/officeDocument/2006/relationships/hyperlink" Target="https://www.teamrankings.com/college-football/team/syracuse-orange" TargetMode="External"/><Relationship Id="rId15" Type="http://schemas.openxmlformats.org/officeDocument/2006/relationships/hyperlink" Target="https://www.teamrankings.com/college-football/team/oklahoma-sooners" TargetMode="External"/><Relationship Id="rId110" Type="http://schemas.openxmlformats.org/officeDocument/2006/relationships/hyperlink" Target="https://www.teamrankings.com/college-football/team/washington-state-cougars" TargetMode="External"/><Relationship Id="rId14" Type="http://schemas.openxmlformats.org/officeDocument/2006/relationships/hyperlink" Target="https://www.teamrankings.com/college-football/team/clemson-tigers" TargetMode="External"/><Relationship Id="rId17" Type="http://schemas.openxmlformats.org/officeDocument/2006/relationships/hyperlink" Target="https://www.teamrankings.com/college-football/team/nevada-wolf-pack" TargetMode="External"/><Relationship Id="rId16" Type="http://schemas.openxmlformats.org/officeDocument/2006/relationships/hyperlink" Target="https://www.teamrankings.com/college-football/team/georgia-bulldogs" TargetMode="External"/><Relationship Id="rId19" Type="http://schemas.openxmlformats.org/officeDocument/2006/relationships/hyperlink" Target="https://www.teamrankings.com/college-football/team/kent-state-golden-flashes" TargetMode="External"/><Relationship Id="rId114" Type="http://schemas.openxmlformats.org/officeDocument/2006/relationships/hyperlink" Target="https://www.teamrankings.com/college-football/team/akron-zips" TargetMode="External"/><Relationship Id="rId18" Type="http://schemas.openxmlformats.org/officeDocument/2006/relationships/hyperlink" Target="https://www.teamrankings.com/college-football/team/northwestern-wildcats" TargetMode="External"/><Relationship Id="rId113" Type="http://schemas.openxmlformats.org/officeDocument/2006/relationships/hyperlink" Target="https://www.teamrankings.com/college-football/team/duke-blue-devils" TargetMode="External"/><Relationship Id="rId112" Type="http://schemas.openxmlformats.org/officeDocument/2006/relationships/hyperlink" Target="https://www.teamrankings.com/college-football/team/south-carolina-gamecocks" TargetMode="External"/><Relationship Id="rId111" Type="http://schemas.openxmlformats.org/officeDocument/2006/relationships/hyperlink" Target="https://www.teamrankings.com/college-football/team/baylor-bears" TargetMode="External"/><Relationship Id="rId84" Type="http://schemas.openxmlformats.org/officeDocument/2006/relationships/hyperlink" Target="https://www.teamrankings.com/college-football/team/nebraska-cornhuskers" TargetMode="External"/><Relationship Id="rId83" Type="http://schemas.openxmlformats.org/officeDocument/2006/relationships/hyperlink" Target="https://www.teamrankings.com/college-football/team/utep-miners" TargetMode="External"/><Relationship Id="rId86" Type="http://schemas.openxmlformats.org/officeDocument/2006/relationships/hyperlink" Target="https://www.teamrankings.com/college-football/team/mississippi-state-bulldogs" TargetMode="External"/><Relationship Id="rId85" Type="http://schemas.openxmlformats.org/officeDocument/2006/relationships/hyperlink" Target="https://www.teamrankings.com/college-football/team/houston-cougars" TargetMode="External"/><Relationship Id="rId88" Type="http://schemas.openxmlformats.org/officeDocument/2006/relationships/hyperlink" Target="https://www.teamrankings.com/college-football/team/arkansas-state-red-wolves" TargetMode="External"/><Relationship Id="rId87" Type="http://schemas.openxmlformats.org/officeDocument/2006/relationships/hyperlink" Target="https://www.teamrankings.com/college-football/team/louisville-cardinals" TargetMode="External"/><Relationship Id="rId89" Type="http://schemas.openxmlformats.org/officeDocument/2006/relationships/hyperlink" Target="https://www.teamrankings.com/college-football/team/south-alabama-jaguars" TargetMode="External"/><Relationship Id="rId80" Type="http://schemas.openxmlformats.org/officeDocument/2006/relationships/hyperlink" Target="https://www.teamrankings.com/college-football/team/texas-tech-red-raiders" TargetMode="External"/><Relationship Id="rId82" Type="http://schemas.openxmlformats.org/officeDocument/2006/relationships/hyperlink" Target="https://www.teamrankings.com/college-football/team/maryland-terrapins" TargetMode="External"/><Relationship Id="rId81" Type="http://schemas.openxmlformats.org/officeDocument/2006/relationships/hyperlink" Target="https://www.teamrankings.com/college-football/team/north-texas-mean-green" TargetMode="External"/><Relationship Id="rId1" Type="http://schemas.openxmlformats.org/officeDocument/2006/relationships/hyperlink" Target="https://www.teamrankings.com/college-football/team/alabama-crimson-tide" TargetMode="External"/><Relationship Id="rId2" Type="http://schemas.openxmlformats.org/officeDocument/2006/relationships/hyperlink" Target="https://www.teamrankings.com/college-football/team/byu-cougars" TargetMode="External"/><Relationship Id="rId3" Type="http://schemas.openxmlformats.org/officeDocument/2006/relationships/hyperlink" Target="https://www.teamrankings.com/college-football/team/coastal-carolina-chanticleers" TargetMode="External"/><Relationship Id="rId4" Type="http://schemas.openxmlformats.org/officeDocument/2006/relationships/hyperlink" Target="https://www.teamrankings.com/college-football/team/louisiana-ragin-cajuns" TargetMode="External"/><Relationship Id="rId9" Type="http://schemas.openxmlformats.org/officeDocument/2006/relationships/hyperlink" Target="https://www.teamrankings.com/college-football/team/san-jose-state-spartans" TargetMode="External"/><Relationship Id="rId5" Type="http://schemas.openxmlformats.org/officeDocument/2006/relationships/hyperlink" Target="https://www.teamrankings.com/college-football/team/liberty-flames" TargetMode="External"/><Relationship Id="rId6" Type="http://schemas.openxmlformats.org/officeDocument/2006/relationships/hyperlink" Target="https://www.teamrankings.com/college-football/team/texas-am-aggies" TargetMode="External"/><Relationship Id="rId7" Type="http://schemas.openxmlformats.org/officeDocument/2006/relationships/hyperlink" Target="https://www.teamrankings.com/college-football/team/cincinnati-bearcats" TargetMode="External"/><Relationship Id="rId8" Type="http://schemas.openxmlformats.org/officeDocument/2006/relationships/hyperlink" Target="https://www.teamrankings.com/college-football/team/ball-state-cardinals" TargetMode="External"/><Relationship Id="rId73" Type="http://schemas.openxmlformats.org/officeDocument/2006/relationships/hyperlink" Target="https://www.teamrankings.com/college-football/team/penn-state-nittany-lions" TargetMode="External"/><Relationship Id="rId72" Type="http://schemas.openxmlformats.org/officeDocument/2006/relationships/hyperlink" Target="https://www.teamrankings.com/college-football/team/virginia-tech-hokies" TargetMode="External"/><Relationship Id="rId75" Type="http://schemas.openxmlformats.org/officeDocument/2006/relationships/hyperlink" Target="https://www.teamrankings.com/college-football/team/minnesota-golden-gophers" TargetMode="External"/><Relationship Id="rId74" Type="http://schemas.openxmlformats.org/officeDocument/2006/relationships/hyperlink" Target="https://www.teamrankings.com/college-football/team/wake-forest-demon-deacons" TargetMode="External"/><Relationship Id="rId77" Type="http://schemas.openxmlformats.org/officeDocument/2006/relationships/hyperlink" Target="https://www.teamrankings.com/college-football/team/western-kentucky-hilltoppers" TargetMode="External"/><Relationship Id="rId76" Type="http://schemas.openxmlformats.org/officeDocument/2006/relationships/hyperlink" Target="https://www.teamrankings.com/college-football/team/ucla-bruins" TargetMode="External"/><Relationship Id="rId79" Type="http://schemas.openxmlformats.org/officeDocument/2006/relationships/hyperlink" Target="https://www.teamrankings.com/college-football/team/kansas-state-wildcats" TargetMode="External"/><Relationship Id="rId78" Type="http://schemas.openxmlformats.org/officeDocument/2006/relationships/hyperlink" Target="https://www.teamrankings.com/college-football/team/rice-owls" TargetMode="External"/><Relationship Id="rId71" Type="http://schemas.openxmlformats.org/officeDocument/2006/relationships/hyperlink" Target="https://www.teamrankings.com/college-football/team/troy-trojans" TargetMode="External"/><Relationship Id="rId70" Type="http://schemas.openxmlformats.org/officeDocument/2006/relationships/hyperlink" Target="https://www.teamrankings.com/college-football/team/kentucky-wildcats" TargetMode="External"/><Relationship Id="rId130" Type="http://schemas.openxmlformats.org/officeDocument/2006/relationships/drawing" Target="../drawings/drawing6.xml"/><Relationship Id="rId62" Type="http://schemas.openxmlformats.org/officeDocument/2006/relationships/hyperlink" Target="https://www.teamrankings.com/college-football/team/mississippi-rebels" TargetMode="External"/><Relationship Id="rId61" Type="http://schemas.openxmlformats.org/officeDocument/2006/relationships/hyperlink" Target="https://www.teamrankings.com/college-football/team/louisiana-state-tigers" TargetMode="External"/><Relationship Id="rId64" Type="http://schemas.openxmlformats.org/officeDocument/2006/relationships/hyperlink" Target="https://www.teamrankings.com/college-football/team/tulane-green-wave" TargetMode="External"/><Relationship Id="rId63" Type="http://schemas.openxmlformats.org/officeDocument/2006/relationships/hyperlink" Target="https://www.teamrankings.com/college-football/team/missouri-tigers" TargetMode="External"/><Relationship Id="rId66" Type="http://schemas.openxmlformats.org/officeDocument/2006/relationships/hyperlink" Target="https://www.teamrankings.com/college-football/team/san-diego-state-aztecs" TargetMode="External"/><Relationship Id="rId65" Type="http://schemas.openxmlformats.org/officeDocument/2006/relationships/hyperlink" Target="https://www.teamrankings.com/college-football/team/air-force-falcons" TargetMode="External"/><Relationship Id="rId68" Type="http://schemas.openxmlformats.org/officeDocument/2006/relationships/hyperlink" Target="https://www.teamrankings.com/college-football/team/virginia-cavaliers" TargetMode="External"/><Relationship Id="rId67" Type="http://schemas.openxmlformats.org/officeDocument/2006/relationships/hyperlink" Target="https://www.teamrankings.com/college-football/team/arizona-state-sun-devils" TargetMode="External"/><Relationship Id="rId60" Type="http://schemas.openxmlformats.org/officeDocument/2006/relationships/hyperlink" Target="https://www.teamrankings.com/college-football/team/fresno-state-bulldogs" TargetMode="External"/><Relationship Id="rId69" Type="http://schemas.openxmlformats.org/officeDocument/2006/relationships/hyperlink" Target="https://www.teamrankings.com/college-football/team/jacksonville-state-gamecocks" TargetMode="External"/><Relationship Id="rId51" Type="http://schemas.openxmlformats.org/officeDocument/2006/relationships/hyperlink" Target="https://www.teamrankings.com/college-football/team/wisconsin-badgers" TargetMode="External"/><Relationship Id="rId50" Type="http://schemas.openxmlformats.org/officeDocument/2006/relationships/hyperlink" Target="https://www.teamrankings.com/college-football/team/utsa-roadrunners" TargetMode="External"/><Relationship Id="rId53" Type="http://schemas.openxmlformats.org/officeDocument/2006/relationships/hyperlink" Target="https://www.teamrankings.com/college-football/team/hawaii-rainbow-warriors" TargetMode="External"/><Relationship Id="rId52" Type="http://schemas.openxmlformats.org/officeDocument/2006/relationships/hyperlink" Target="https://www.teamrankings.com/college-football/team/oregon-ducks" TargetMode="External"/><Relationship Id="rId55" Type="http://schemas.openxmlformats.org/officeDocument/2006/relationships/hyperlink" Target="https://www.teamrankings.com/college-football/team/auburn-tigers" TargetMode="External"/><Relationship Id="rId54" Type="http://schemas.openxmlformats.org/officeDocument/2006/relationships/hyperlink" Target="https://www.teamrankings.com/college-football/team/florida-atlantic-owls" TargetMode="External"/><Relationship Id="rId57" Type="http://schemas.openxmlformats.org/officeDocument/2006/relationships/hyperlink" Target="https://www.teamrankings.com/college-football/team/boston-college-eagles" TargetMode="External"/><Relationship Id="rId56" Type="http://schemas.openxmlformats.org/officeDocument/2006/relationships/hyperlink" Target="https://www.teamrankings.com/college-football/team/pittsburgh-panthers" TargetMode="External"/><Relationship Id="rId59" Type="http://schemas.openxmlformats.org/officeDocument/2006/relationships/hyperlink" Target="https://www.teamrankings.com/college-football/team/louisiana-tech-bulldogs" TargetMode="External"/><Relationship Id="rId58" Type="http://schemas.openxmlformats.org/officeDocument/2006/relationships/hyperlink" Target="https://www.teamrankings.com/college-football/team/central-michigan-chippewa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texas-longhorns" TargetMode="External"/><Relationship Id="rId42" Type="http://schemas.openxmlformats.org/officeDocument/2006/relationships/hyperlink" Target="https://www.teamrankings.com/college-football/team/oklahoma-state-cowboys" TargetMode="External"/><Relationship Id="rId41" Type="http://schemas.openxmlformats.org/officeDocument/2006/relationships/hyperlink" Target="https://www.teamrankings.com/college-football/team/texas-am-aggies" TargetMode="External"/><Relationship Id="rId44" Type="http://schemas.openxmlformats.org/officeDocument/2006/relationships/hyperlink" Target="https://www.teamrankings.com/college-football/team/arkansas-state-red-wolves" TargetMode="External"/><Relationship Id="rId43" Type="http://schemas.openxmlformats.org/officeDocument/2006/relationships/hyperlink" Target="https://www.teamrankings.com/college-football/team/louisville-cardinals" TargetMode="External"/><Relationship Id="rId46" Type="http://schemas.openxmlformats.org/officeDocument/2006/relationships/hyperlink" Target="https://www.teamrankings.com/college-football/team/washington-huskies" TargetMode="External"/><Relationship Id="rId45" Type="http://schemas.openxmlformats.org/officeDocument/2006/relationships/hyperlink" Target="https://www.teamrankings.com/college-football/team/wyoming-cowboys" TargetMode="External"/><Relationship Id="rId107" Type="http://schemas.openxmlformats.org/officeDocument/2006/relationships/hyperlink" Target="https://www.teamrankings.com/college-football/team/colorado-state-rams" TargetMode="External"/><Relationship Id="rId106" Type="http://schemas.openxmlformats.org/officeDocument/2006/relationships/hyperlink" Target="https://www.teamrankings.com/college-football/team/unlv-rebels" TargetMode="External"/><Relationship Id="rId105" Type="http://schemas.openxmlformats.org/officeDocument/2006/relationships/hyperlink" Target="https://www.teamrankings.com/college-football/team/north-texas-mean-green" TargetMode="External"/><Relationship Id="rId104" Type="http://schemas.openxmlformats.org/officeDocument/2006/relationships/hyperlink" Target="https://www.teamrankings.com/college-football/team/middle-tennessee-blue-raiders" TargetMode="External"/><Relationship Id="rId109" Type="http://schemas.openxmlformats.org/officeDocument/2006/relationships/hyperlink" Target="https://www.teamrankings.com/college-football/team/arizona-wildcats" TargetMode="External"/><Relationship Id="rId108" Type="http://schemas.openxmlformats.org/officeDocument/2006/relationships/hyperlink" Target="https://www.teamrankings.com/college-football/team/stanford-cardinal" TargetMode="External"/><Relationship Id="rId48" Type="http://schemas.openxmlformats.org/officeDocument/2006/relationships/hyperlink" Target="https://www.teamrankings.com/college-football/team/california-golden-bears" TargetMode="External"/><Relationship Id="rId47" Type="http://schemas.openxmlformats.org/officeDocument/2006/relationships/hyperlink" Target="https://www.teamrankings.com/college-football/team/arizona-state-sun-devils" TargetMode="External"/><Relationship Id="rId49" Type="http://schemas.openxmlformats.org/officeDocument/2006/relationships/hyperlink" Target="https://www.teamrankings.com/college-football/team/usc-trojans" TargetMode="External"/><Relationship Id="rId103" Type="http://schemas.openxmlformats.org/officeDocument/2006/relationships/hyperlink" Target="https://www.teamrankings.com/college-football/team/south-florida-bulls" TargetMode="External"/><Relationship Id="rId102" Type="http://schemas.openxmlformats.org/officeDocument/2006/relationships/hyperlink" Target="https://www.teamrankings.com/college-football/team/houston-cougars" TargetMode="External"/><Relationship Id="rId101" Type="http://schemas.openxmlformats.org/officeDocument/2006/relationships/hyperlink" Target="https://www.teamrankings.com/college-football/team/east-carolina-pirates" TargetMode="External"/><Relationship Id="rId100" Type="http://schemas.openxmlformats.org/officeDocument/2006/relationships/hyperlink" Target="https://www.teamrankings.com/college-football/team/texas-tech-red-raiders" TargetMode="External"/><Relationship Id="rId31" Type="http://schemas.openxmlformats.org/officeDocument/2006/relationships/hyperlink" Target="https://www.teamrankings.com/college-football/team/hawaii-rainbow-warriors" TargetMode="External"/><Relationship Id="rId30" Type="http://schemas.openxmlformats.org/officeDocument/2006/relationships/hyperlink" Target="https://www.teamrankings.com/college-football/team/western-kentucky-hilltoppers" TargetMode="External"/><Relationship Id="rId33" Type="http://schemas.openxmlformats.org/officeDocument/2006/relationships/hyperlink" Target="https://www.teamrankings.com/college-football/team/virginia-cavaliers" TargetMode="External"/><Relationship Id="rId32" Type="http://schemas.openxmlformats.org/officeDocument/2006/relationships/hyperlink" Target="https://www.teamrankings.com/college-football/team/uab-blazers" TargetMode="External"/><Relationship Id="rId35" Type="http://schemas.openxmlformats.org/officeDocument/2006/relationships/hyperlink" Target="https://www.teamrankings.com/college-football/team/marshall-thundering-herd" TargetMode="External"/><Relationship Id="rId34" Type="http://schemas.openxmlformats.org/officeDocument/2006/relationships/hyperlink" Target="https://www.teamrankings.com/college-football/team/buffalo-bulls" TargetMode="External"/><Relationship Id="rId37" Type="http://schemas.openxmlformats.org/officeDocument/2006/relationships/hyperlink" Target="https://www.teamrankings.com/college-football/team/tennessee-volunteers" TargetMode="External"/><Relationship Id="rId36" Type="http://schemas.openxmlformats.org/officeDocument/2006/relationships/hyperlink" Target="https://www.teamrankings.com/college-football/team/kentucky-wildcats" TargetMode="External"/><Relationship Id="rId39" Type="http://schemas.openxmlformats.org/officeDocument/2006/relationships/hyperlink" Target="https://www.teamrankings.com/college-football/team/kansas-state-wildcats" TargetMode="External"/><Relationship Id="rId38" Type="http://schemas.openxmlformats.org/officeDocument/2006/relationships/hyperlink" Target="https://www.teamrankings.com/college-football/team/indiana-hoosiers" TargetMode="External"/><Relationship Id="rId20" Type="http://schemas.openxmlformats.org/officeDocument/2006/relationships/hyperlink" Target="https://www.teamrankings.com/college-football/team/utah-utes" TargetMode="External"/><Relationship Id="rId22" Type="http://schemas.openxmlformats.org/officeDocument/2006/relationships/hyperlink" Target="https://www.teamrankings.com/college-football/team/ucf-knights" TargetMode="External"/><Relationship Id="rId21" Type="http://schemas.openxmlformats.org/officeDocument/2006/relationships/hyperlink" Target="https://www.teamrankings.com/college-football/team/florida-atlantic-owls" TargetMode="External"/><Relationship Id="rId24" Type="http://schemas.openxmlformats.org/officeDocument/2006/relationships/hyperlink" Target="https://www.teamrankings.com/college-football/team/smu-mustangs" TargetMode="External"/><Relationship Id="rId23" Type="http://schemas.openxmlformats.org/officeDocument/2006/relationships/hyperlink" Target="https://www.teamrankings.com/college-football/team/louisiana-tech-bulldogs" TargetMode="External"/><Relationship Id="rId129" Type="http://schemas.openxmlformats.org/officeDocument/2006/relationships/hyperlink" Target="https://www.teamrankings.com/college-football/team/old-dominion-monarchs" TargetMode="External"/><Relationship Id="rId128" Type="http://schemas.openxmlformats.org/officeDocument/2006/relationships/hyperlink" Target="https://www.teamrankings.com/college-football/team/massachusetts-minutemen" TargetMode="External"/><Relationship Id="rId127" Type="http://schemas.openxmlformats.org/officeDocument/2006/relationships/hyperlink" Target="https://www.teamrankings.com/college-football/team/utep-miners" TargetMode="External"/><Relationship Id="rId126" Type="http://schemas.openxmlformats.org/officeDocument/2006/relationships/hyperlink" Target="https://www.teamrankings.com/college-football/team/south-alabama-jaguars" TargetMode="External"/><Relationship Id="rId26" Type="http://schemas.openxmlformats.org/officeDocument/2006/relationships/hyperlink" Target="https://www.teamrankings.com/college-football/team/san-diego-state-aztecs" TargetMode="External"/><Relationship Id="rId121" Type="http://schemas.openxmlformats.org/officeDocument/2006/relationships/hyperlink" Target="https://www.teamrankings.com/college-football/team/arkansas-razorbacks" TargetMode="External"/><Relationship Id="rId25" Type="http://schemas.openxmlformats.org/officeDocument/2006/relationships/hyperlink" Target="https://www.teamrankings.com/college-football/team/iowa-hawkeyes" TargetMode="External"/><Relationship Id="rId120" Type="http://schemas.openxmlformats.org/officeDocument/2006/relationships/hyperlink" Target="https://www.teamrankings.com/college-football/team/texas-state-bobcats" TargetMode="External"/><Relationship Id="rId28" Type="http://schemas.openxmlformats.org/officeDocument/2006/relationships/hyperlink" Target="https://www.teamrankings.com/college-football/team/auburn-tigers" TargetMode="External"/><Relationship Id="rId27" Type="http://schemas.openxmlformats.org/officeDocument/2006/relationships/hyperlink" Target="https://www.teamrankings.com/college-football/team/wisconsin-badgers" TargetMode="External"/><Relationship Id="rId125" Type="http://schemas.openxmlformats.org/officeDocument/2006/relationships/hyperlink" Target="https://www.teamrankings.com/college-football/team/connecticut-huskies" TargetMode="External"/><Relationship Id="rId29" Type="http://schemas.openxmlformats.org/officeDocument/2006/relationships/hyperlink" Target="https://www.teamrankings.com/college-football/team/michigan-wolverines" TargetMode="External"/><Relationship Id="rId124" Type="http://schemas.openxmlformats.org/officeDocument/2006/relationships/hyperlink" Target="https://www.teamrankings.com/college-football/team/rutgers-scarlet-knights" TargetMode="External"/><Relationship Id="rId123" Type="http://schemas.openxmlformats.org/officeDocument/2006/relationships/hyperlink" Target="https://www.teamrankings.com/college-football/team/new-mexico-lobos" TargetMode="External"/><Relationship Id="rId122" Type="http://schemas.openxmlformats.org/officeDocument/2006/relationships/hyperlink" Target="https://www.teamrankings.com/college-football/team/new-mexico-state-aggies" TargetMode="External"/><Relationship Id="rId95" Type="http://schemas.openxmlformats.org/officeDocument/2006/relationships/hyperlink" Target="https://www.teamrankings.com/college-football/team/tulsa-golden-hurricane" TargetMode="External"/><Relationship Id="rId94" Type="http://schemas.openxmlformats.org/officeDocument/2006/relationships/hyperlink" Target="https://www.teamrankings.com/college-football/team/army-black-knights" TargetMode="External"/><Relationship Id="rId97" Type="http://schemas.openxmlformats.org/officeDocument/2006/relationships/hyperlink" Target="https://www.teamrankings.com/college-football/team/south-carolina-gamecocks" TargetMode="External"/><Relationship Id="rId96" Type="http://schemas.openxmlformats.org/officeDocument/2006/relationships/hyperlink" Target="https://www.teamrankings.com/college-football/team/fresno-state-bulldogs" TargetMode="External"/><Relationship Id="rId11" Type="http://schemas.openxmlformats.org/officeDocument/2006/relationships/hyperlink" Target="https://www.teamrankings.com/college-football/team/notre-dame-fighting-irish" TargetMode="External"/><Relationship Id="rId99" Type="http://schemas.openxmlformats.org/officeDocument/2006/relationships/hyperlink" Target="https://www.teamrankings.com/college-football/team/purdue-boilermakers" TargetMode="External"/><Relationship Id="rId10" Type="http://schemas.openxmlformats.org/officeDocument/2006/relationships/hyperlink" Target="https://www.teamrankings.com/college-football/team/navy-midshipmen" TargetMode="External"/><Relationship Id="rId98" Type="http://schemas.openxmlformats.org/officeDocument/2006/relationships/hyperlink" Target="https://www.teamrankings.com/college-football/team/mississippi-rebels" TargetMode="External"/><Relationship Id="rId13" Type="http://schemas.openxmlformats.org/officeDocument/2006/relationships/hyperlink" Target="https://www.teamrankings.com/college-football/team/alabama-crimson-tide" TargetMode="External"/><Relationship Id="rId12" Type="http://schemas.openxmlformats.org/officeDocument/2006/relationships/hyperlink" Target="https://www.teamrankings.com/college-football/team/florida-gators" TargetMode="External"/><Relationship Id="rId91" Type="http://schemas.openxmlformats.org/officeDocument/2006/relationships/hyperlink" Target="https://www.teamrankings.com/college-football/team/west-virginia-mountaineers" TargetMode="External"/><Relationship Id="rId90" Type="http://schemas.openxmlformats.org/officeDocument/2006/relationships/hyperlink" Target="https://www.teamrankings.com/college-football/team/duke-blue-devils" TargetMode="External"/><Relationship Id="rId93" Type="http://schemas.openxmlformats.org/officeDocument/2006/relationships/hyperlink" Target="https://www.teamrankings.com/college-football/team/coastal-carolina-chanticleers" TargetMode="External"/><Relationship Id="rId92" Type="http://schemas.openxmlformats.org/officeDocument/2006/relationships/hyperlink" Target="https://www.teamrankings.com/college-football/team/syracuse-orange" TargetMode="External"/><Relationship Id="rId118" Type="http://schemas.openxmlformats.org/officeDocument/2006/relationships/hyperlink" Target="https://www.teamrankings.com/college-football/team/maryland-terrapins" TargetMode="External"/><Relationship Id="rId117" Type="http://schemas.openxmlformats.org/officeDocument/2006/relationships/hyperlink" Target="https://www.teamrankings.com/college-football/team/kansas-jayhawks" TargetMode="External"/><Relationship Id="rId116" Type="http://schemas.openxmlformats.org/officeDocument/2006/relationships/hyperlink" Target="https://www.teamrankings.com/college-football/team/northwestern-wildcats" TargetMode="External"/><Relationship Id="rId115" Type="http://schemas.openxmlformats.org/officeDocument/2006/relationships/hyperlink" Target="https://www.teamrankings.com/college-football/team/vanderbilt-commodores" TargetMode="External"/><Relationship Id="rId119" Type="http://schemas.openxmlformats.org/officeDocument/2006/relationships/hyperlink" Target="https://www.teamrankings.com/college-football/team/georgia-tech-yellow-jackets" TargetMode="External"/><Relationship Id="rId15" Type="http://schemas.openxmlformats.org/officeDocument/2006/relationships/hyperlink" Target="https://www.teamrankings.com/college-football/team/penn-state-nittany-lions" TargetMode="External"/><Relationship Id="rId110" Type="http://schemas.openxmlformats.org/officeDocument/2006/relationships/hyperlink" Target="https://www.teamrankings.com/college-football/team/ucla-bruins" TargetMode="External"/><Relationship Id="rId14" Type="http://schemas.openxmlformats.org/officeDocument/2006/relationships/hyperlink" Target="https://www.teamrankings.com/college-football/team/minnesota-golden-gophers" TargetMode="External"/><Relationship Id="rId17" Type="http://schemas.openxmlformats.org/officeDocument/2006/relationships/hyperlink" Target="https://www.teamrankings.com/college-football/team/baylor-bears" TargetMode="External"/><Relationship Id="rId16" Type="http://schemas.openxmlformats.org/officeDocument/2006/relationships/hyperlink" Target="https://www.teamrankings.com/college-football/team/air-force-falcons" TargetMode="External"/><Relationship Id="rId19" Type="http://schemas.openxmlformats.org/officeDocument/2006/relationships/hyperlink" Target="https://www.teamrankings.com/college-football/team/louisiana-ragin-cajuns" TargetMode="External"/><Relationship Id="rId114" Type="http://schemas.openxmlformats.org/officeDocument/2006/relationships/hyperlink" Target="https://www.teamrankings.com/college-football/team/rice-owls" TargetMode="External"/><Relationship Id="rId18" Type="http://schemas.openxmlformats.org/officeDocument/2006/relationships/hyperlink" Target="https://www.teamrankings.com/college-football/team/cincinnati-bearcats" TargetMode="External"/><Relationship Id="rId113" Type="http://schemas.openxmlformats.org/officeDocument/2006/relationships/hyperlink" Target="https://www.teamrankings.com/college-football/team/bowling-green-falcons" TargetMode="External"/><Relationship Id="rId112" Type="http://schemas.openxmlformats.org/officeDocument/2006/relationships/hyperlink" Target="https://www.teamrankings.com/college-football/team/utsa-roadrunners" TargetMode="External"/><Relationship Id="rId111" Type="http://schemas.openxmlformats.org/officeDocument/2006/relationships/hyperlink" Target="https://www.teamrankings.com/college-football/team/nc-state-wolfpack" TargetMode="External"/><Relationship Id="rId84" Type="http://schemas.openxmlformats.org/officeDocument/2006/relationships/hyperlink" Target="https://www.teamrankings.com/college-football/team/colorado-buffaloes" TargetMode="External"/><Relationship Id="rId83" Type="http://schemas.openxmlformats.org/officeDocument/2006/relationships/hyperlink" Target="https://www.teamrankings.com/college-football/team/san-jose-state-spartans" TargetMode="External"/><Relationship Id="rId86" Type="http://schemas.openxmlformats.org/officeDocument/2006/relationships/hyperlink" Target="https://www.teamrankings.com/college-football/team/tcu-horned-frogs" TargetMode="External"/><Relationship Id="rId85" Type="http://schemas.openxmlformats.org/officeDocument/2006/relationships/hyperlink" Target="https://www.teamrankings.com/college-football/team/nebraska-cornhuskers" TargetMode="External"/><Relationship Id="rId88" Type="http://schemas.openxmlformats.org/officeDocument/2006/relationships/hyperlink" Target="https://www.teamrankings.com/college-football/team/troy-trojans" TargetMode="External"/><Relationship Id="rId87" Type="http://schemas.openxmlformats.org/officeDocument/2006/relationships/hyperlink" Target="https://www.teamrankings.com/college-football/team/ul-monroe-warhawks" TargetMode="External"/><Relationship Id="rId89" Type="http://schemas.openxmlformats.org/officeDocument/2006/relationships/hyperlink" Target="https://www.teamrankings.com/college-football/team/oregon-state-beavers" TargetMode="External"/><Relationship Id="rId80" Type="http://schemas.openxmlformats.org/officeDocument/2006/relationships/hyperlink" Target="https://www.teamrankings.com/college-football/team/florida-international-panthers" TargetMode="External"/><Relationship Id="rId82" Type="http://schemas.openxmlformats.org/officeDocument/2006/relationships/hyperlink" Target="https://www.teamrankings.com/college-football/team/ball-state-cardinals" TargetMode="External"/><Relationship Id="rId81" Type="http://schemas.openxmlformats.org/officeDocument/2006/relationships/hyperlink" Target="https://www.teamrankings.com/college-football/team/northern-illinois-huskies" TargetMode="External"/><Relationship Id="rId1" Type="http://schemas.openxmlformats.org/officeDocument/2006/relationships/hyperlink" Target="https://www.teamrankings.com/college-football/team/louisiana-state-tigers" TargetMode="External"/><Relationship Id="rId2" Type="http://schemas.openxmlformats.org/officeDocument/2006/relationships/hyperlink" Target="https://www.teamrankings.com/college-football/team/clemson-tigers" TargetMode="External"/><Relationship Id="rId3" Type="http://schemas.openxmlformats.org/officeDocument/2006/relationships/hyperlink" Target="https://www.teamrankings.com/college-football/team/ohio-state-buckeyes" TargetMode="External"/><Relationship Id="rId4" Type="http://schemas.openxmlformats.org/officeDocument/2006/relationships/hyperlink" Target="https://www.teamrankings.com/college-football/team/app-state-mountaineers" TargetMode="External"/><Relationship Id="rId9" Type="http://schemas.openxmlformats.org/officeDocument/2006/relationships/hyperlink" Target="https://www.teamrankings.com/college-football/team/oregon-ducks" TargetMode="External"/><Relationship Id="rId5" Type="http://schemas.openxmlformats.org/officeDocument/2006/relationships/hyperlink" Target="https://www.teamrankings.com/college-football/team/boise-state-broncos" TargetMode="External"/><Relationship Id="rId6" Type="http://schemas.openxmlformats.org/officeDocument/2006/relationships/hyperlink" Target="https://www.teamrankings.com/college-football/team/georgia-bulldogs" TargetMode="External"/><Relationship Id="rId7" Type="http://schemas.openxmlformats.org/officeDocument/2006/relationships/hyperlink" Target="https://www.teamrankings.com/college-football/team/oklahoma-sooners" TargetMode="External"/><Relationship Id="rId8" Type="http://schemas.openxmlformats.org/officeDocument/2006/relationships/hyperlink" Target="https://www.teamrankings.com/college-football/team/memphis-tigers" TargetMode="External"/><Relationship Id="rId73" Type="http://schemas.openxmlformats.org/officeDocument/2006/relationships/hyperlink" Target="https://www.teamrankings.com/college-football/team/eastern-michigan-eagles" TargetMode="External"/><Relationship Id="rId72" Type="http://schemas.openxmlformats.org/officeDocument/2006/relationships/hyperlink" Target="https://www.teamrankings.com/college-football/team/missouri-tigers" TargetMode="External"/><Relationship Id="rId75" Type="http://schemas.openxmlformats.org/officeDocument/2006/relationships/hyperlink" Target="https://www.teamrankings.com/college-football/team/illinois-fighting-illini" TargetMode="External"/><Relationship Id="rId74" Type="http://schemas.openxmlformats.org/officeDocument/2006/relationships/hyperlink" Target="https://www.teamrankings.com/college-football/team/mississippi-state-bulldogs" TargetMode="External"/><Relationship Id="rId77" Type="http://schemas.openxmlformats.org/officeDocument/2006/relationships/hyperlink" Target="https://www.teamrankings.com/college-football/team/miami-hurricanes" TargetMode="External"/><Relationship Id="rId76" Type="http://schemas.openxmlformats.org/officeDocument/2006/relationships/hyperlink" Target="https://www.teamrankings.com/college-football/team/washington-state-cougars" TargetMode="External"/><Relationship Id="rId79" Type="http://schemas.openxmlformats.org/officeDocument/2006/relationships/hyperlink" Target="https://www.teamrankings.com/college-football/team/boston-college-eagles" TargetMode="External"/><Relationship Id="rId78" Type="http://schemas.openxmlformats.org/officeDocument/2006/relationships/hyperlink" Target="https://www.teamrankings.com/college-football/team/florida-state-seminoles" TargetMode="External"/><Relationship Id="rId71" Type="http://schemas.openxmlformats.org/officeDocument/2006/relationships/hyperlink" Target="https://www.teamrankings.com/college-football/team/toledo-rockets" TargetMode="External"/><Relationship Id="rId70" Type="http://schemas.openxmlformats.org/officeDocument/2006/relationships/hyperlink" Target="https://www.teamrankings.com/college-football/team/charlotte-49ers" TargetMode="External"/><Relationship Id="rId132" Type="http://schemas.openxmlformats.org/officeDocument/2006/relationships/hyperlink" Target="https://www.teamrankings.com/college-football/team/james-madison-dukes" TargetMode="External"/><Relationship Id="rId131" Type="http://schemas.openxmlformats.org/officeDocument/2006/relationships/hyperlink" Target="https://www.teamrankings.com/college-football/team/delaware-fightin-blue-hens" TargetMode="External"/><Relationship Id="rId130" Type="http://schemas.openxmlformats.org/officeDocument/2006/relationships/hyperlink" Target="https://www.teamrankings.com/college-football/team/akron-zips" TargetMode="External"/><Relationship Id="rId136" Type="http://schemas.openxmlformats.org/officeDocument/2006/relationships/drawing" Target="../drawings/drawing7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sam-houston-bearkats" TargetMode="External"/><Relationship Id="rId62" Type="http://schemas.openxmlformats.org/officeDocument/2006/relationships/hyperlink" Target="https://www.teamrankings.com/college-football/team/iowa-state-cyclones" TargetMode="External"/><Relationship Id="rId61" Type="http://schemas.openxmlformats.org/officeDocument/2006/relationships/hyperlink" Target="https://www.teamrankings.com/college-football/team/michigan-state-spartans" TargetMode="External"/><Relationship Id="rId64" Type="http://schemas.openxmlformats.org/officeDocument/2006/relationships/hyperlink" Target="https://www.teamrankings.com/college-football/team/tulane-green-wave" TargetMode="External"/><Relationship Id="rId63" Type="http://schemas.openxmlformats.org/officeDocument/2006/relationships/hyperlink" Target="https://www.teamrankings.com/college-football/team/southern-miss-golden-eagles" TargetMode="External"/><Relationship Id="rId66" Type="http://schemas.openxmlformats.org/officeDocument/2006/relationships/hyperlink" Target="https://www.teamrankings.com/college-football/team/byu-cougars" TargetMode="External"/><Relationship Id="rId65" Type="http://schemas.openxmlformats.org/officeDocument/2006/relationships/hyperlink" Target="https://www.teamrankings.com/college-football/team/utah-state-aggies" TargetMode="External"/><Relationship Id="rId68" Type="http://schemas.openxmlformats.org/officeDocument/2006/relationships/hyperlink" Target="https://www.teamrankings.com/college-football/team/georgia-southern-eagles" TargetMode="External"/><Relationship Id="rId67" Type="http://schemas.openxmlformats.org/officeDocument/2006/relationships/hyperlink" Target="https://www.teamrankings.com/college-football/team/north-carolina-tar-heels" TargetMode="External"/><Relationship Id="rId60" Type="http://schemas.openxmlformats.org/officeDocument/2006/relationships/hyperlink" Target="https://www.teamrankings.com/college-football/team/nevada-wolf-pack" TargetMode="External"/><Relationship Id="rId69" Type="http://schemas.openxmlformats.org/officeDocument/2006/relationships/hyperlink" Target="https://www.teamrankings.com/college-football/team/georgia-state-panthers" TargetMode="External"/><Relationship Id="rId51" Type="http://schemas.openxmlformats.org/officeDocument/2006/relationships/hyperlink" Target="https://www.teamrankings.com/college-football/team/virginia-tech-hokies" TargetMode="External"/><Relationship Id="rId50" Type="http://schemas.openxmlformats.org/officeDocument/2006/relationships/hyperlink" Target="https://www.teamrankings.com/college-football/team/wake-forest-demon-deacons" TargetMode="External"/><Relationship Id="rId53" Type="http://schemas.openxmlformats.org/officeDocument/2006/relationships/hyperlink" Target="https://www.teamrankings.com/college-football/team/pittsburgh-panthers" TargetMode="External"/><Relationship Id="rId52" Type="http://schemas.openxmlformats.org/officeDocument/2006/relationships/hyperlink" Target="https://www.teamrankings.com/college-football/team/temple-owls" TargetMode="External"/><Relationship Id="rId55" Type="http://schemas.openxmlformats.org/officeDocument/2006/relationships/hyperlink" Target="https://www.teamrankings.com/college-football/team/central-michigan-chippewas" TargetMode="External"/><Relationship Id="rId54" Type="http://schemas.openxmlformats.org/officeDocument/2006/relationships/hyperlink" Target="https://www.teamrankings.com/college-football/team/liberty-flames" TargetMode="External"/><Relationship Id="rId57" Type="http://schemas.openxmlformats.org/officeDocument/2006/relationships/hyperlink" Target="https://www.teamrankings.com/college-football/team/western-michigan-broncos" TargetMode="External"/><Relationship Id="rId56" Type="http://schemas.openxmlformats.org/officeDocument/2006/relationships/hyperlink" Target="https://www.teamrankings.com/college-football/team/miami-oh-redhawks" TargetMode="External"/><Relationship Id="rId59" Type="http://schemas.openxmlformats.org/officeDocument/2006/relationships/hyperlink" Target="https://www.teamrankings.com/college-football/team/kent-state-golden-flashes" TargetMode="External"/><Relationship Id="rId58" Type="http://schemas.openxmlformats.org/officeDocument/2006/relationships/hyperlink" Target="https://www.teamrankings.com/college-football/team/ohio-bobcats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louisiana-tech-bulldogs" TargetMode="External"/><Relationship Id="rId42" Type="http://schemas.openxmlformats.org/officeDocument/2006/relationships/hyperlink" Target="https://www.teamrankings.com/college-football/team/mississippi-state-bulldogs" TargetMode="External"/><Relationship Id="rId41" Type="http://schemas.openxmlformats.org/officeDocument/2006/relationships/hyperlink" Target="https://www.teamrankings.com/college-football/team/auburn-tigers" TargetMode="External"/><Relationship Id="rId44" Type="http://schemas.openxmlformats.org/officeDocument/2006/relationships/hyperlink" Target="https://www.teamrankings.com/college-football/team/iowa-state-cyclones" TargetMode="External"/><Relationship Id="rId43" Type="http://schemas.openxmlformats.org/officeDocument/2006/relationships/hyperlink" Target="https://www.teamrankings.com/college-football/team/wisconsin-badgers" TargetMode="External"/><Relationship Id="rId46" Type="http://schemas.openxmlformats.org/officeDocument/2006/relationships/hyperlink" Target="https://www.teamrankings.com/college-football/team/houston-cougars" TargetMode="External"/><Relationship Id="rId45" Type="http://schemas.openxmlformats.org/officeDocument/2006/relationships/hyperlink" Target="https://www.teamrankings.com/college-football/team/missouri-tigers" TargetMode="External"/><Relationship Id="rId107" Type="http://schemas.openxmlformats.org/officeDocument/2006/relationships/hyperlink" Target="https://www.teamrankings.com/college-football/team/tulsa-golden-hurricane" TargetMode="External"/><Relationship Id="rId106" Type="http://schemas.openxmlformats.org/officeDocument/2006/relationships/hyperlink" Target="https://www.teamrankings.com/college-football/team/bowling-green-falcons" TargetMode="External"/><Relationship Id="rId105" Type="http://schemas.openxmlformats.org/officeDocument/2006/relationships/hyperlink" Target="https://www.teamrankings.com/college-football/team/old-dominion-monarchs" TargetMode="External"/><Relationship Id="rId104" Type="http://schemas.openxmlformats.org/officeDocument/2006/relationships/hyperlink" Target="https://www.teamrankings.com/college-football/team/massachusetts-minutemen" TargetMode="External"/><Relationship Id="rId109" Type="http://schemas.openxmlformats.org/officeDocument/2006/relationships/hyperlink" Target="https://www.teamrankings.com/college-football/team/east-carolina-pirates" TargetMode="External"/><Relationship Id="rId108" Type="http://schemas.openxmlformats.org/officeDocument/2006/relationships/hyperlink" Target="https://www.teamrankings.com/college-football/team/kansas-jayhawks" TargetMode="External"/><Relationship Id="rId48" Type="http://schemas.openxmlformats.org/officeDocument/2006/relationships/hyperlink" Target="https://www.teamrankings.com/college-football/team/virginia-cavaliers" TargetMode="External"/><Relationship Id="rId47" Type="http://schemas.openxmlformats.org/officeDocument/2006/relationships/hyperlink" Target="https://www.teamrankings.com/college-football/team/arkansas-state-red-wolves" TargetMode="External"/><Relationship Id="rId49" Type="http://schemas.openxmlformats.org/officeDocument/2006/relationships/hyperlink" Target="https://www.teamrankings.com/college-football/team/duke-blue-devils" TargetMode="External"/><Relationship Id="rId103" Type="http://schemas.openxmlformats.org/officeDocument/2006/relationships/hyperlink" Target="https://www.teamrankings.com/college-football/team/unlv-rebels" TargetMode="External"/><Relationship Id="rId102" Type="http://schemas.openxmlformats.org/officeDocument/2006/relationships/hyperlink" Target="https://www.teamrankings.com/college-football/team/nebraska-cornhuskers" TargetMode="External"/><Relationship Id="rId101" Type="http://schemas.openxmlformats.org/officeDocument/2006/relationships/hyperlink" Target="https://www.teamrankings.com/college-football/team/illinois-fighting-illini" TargetMode="External"/><Relationship Id="rId100" Type="http://schemas.openxmlformats.org/officeDocument/2006/relationships/hyperlink" Target="https://www.teamrankings.com/college-football/team/akron-zips" TargetMode="External"/><Relationship Id="rId31" Type="http://schemas.openxmlformats.org/officeDocument/2006/relationships/hyperlink" Target="https://www.teamrankings.com/college-football/team/north-texas-mean-green" TargetMode="External"/><Relationship Id="rId30" Type="http://schemas.openxmlformats.org/officeDocument/2006/relationships/hyperlink" Target="https://www.teamrankings.com/college-football/team/texas-am-aggies" TargetMode="External"/><Relationship Id="rId33" Type="http://schemas.openxmlformats.org/officeDocument/2006/relationships/hyperlink" Target="https://www.teamrankings.com/college-football/team/oregon-ducks" TargetMode="External"/><Relationship Id="rId32" Type="http://schemas.openxmlformats.org/officeDocument/2006/relationships/hyperlink" Target="https://www.teamrankings.com/college-football/team/stanford-cardinal" TargetMode="External"/><Relationship Id="rId35" Type="http://schemas.openxmlformats.org/officeDocument/2006/relationships/hyperlink" Target="https://www.teamrankings.com/college-football/team/florida-international-panthers" TargetMode="External"/><Relationship Id="rId34" Type="http://schemas.openxmlformats.org/officeDocument/2006/relationships/hyperlink" Target="https://www.teamrankings.com/college-football/team/nc-state-wolfpack" TargetMode="External"/><Relationship Id="rId37" Type="http://schemas.openxmlformats.org/officeDocument/2006/relationships/hyperlink" Target="https://www.teamrankings.com/college-football/team/northwestern-wildcats" TargetMode="External"/><Relationship Id="rId36" Type="http://schemas.openxmlformats.org/officeDocument/2006/relationships/hyperlink" Target="https://www.teamrankings.com/college-football/team/west-virginia-mountaineers" TargetMode="External"/><Relationship Id="rId39" Type="http://schemas.openxmlformats.org/officeDocument/2006/relationships/hyperlink" Target="https://www.teamrankings.com/college-football/team/nevada-wolf-pack" TargetMode="External"/><Relationship Id="rId38" Type="http://schemas.openxmlformats.org/officeDocument/2006/relationships/hyperlink" Target="https://www.teamrankings.com/college-football/team/utah-utes" TargetMode="External"/><Relationship Id="rId20" Type="http://schemas.openxmlformats.org/officeDocument/2006/relationships/hyperlink" Target="https://www.teamrankings.com/college-football/team/troy-trojans" TargetMode="External"/><Relationship Id="rId22" Type="http://schemas.openxmlformats.org/officeDocument/2006/relationships/hyperlink" Target="https://www.teamrankings.com/college-football/team/georgia-southern-eagles" TargetMode="External"/><Relationship Id="rId21" Type="http://schemas.openxmlformats.org/officeDocument/2006/relationships/hyperlink" Target="https://www.teamrankings.com/college-football/team/syracuse-orange" TargetMode="External"/><Relationship Id="rId24" Type="http://schemas.openxmlformats.org/officeDocument/2006/relationships/hyperlink" Target="https://www.teamrankings.com/college-football/team/texas-longhorns" TargetMode="External"/><Relationship Id="rId23" Type="http://schemas.openxmlformats.org/officeDocument/2006/relationships/hyperlink" Target="https://www.teamrankings.com/college-football/team/buffalo-bulls" TargetMode="External"/><Relationship Id="rId129" Type="http://schemas.openxmlformats.org/officeDocument/2006/relationships/hyperlink" Target="https://www.teamrankings.com/college-football/team/rutgers-scarlet-knights" TargetMode="External"/><Relationship Id="rId128" Type="http://schemas.openxmlformats.org/officeDocument/2006/relationships/hyperlink" Target="https://www.teamrankings.com/college-football/team/utep-miners" TargetMode="External"/><Relationship Id="rId127" Type="http://schemas.openxmlformats.org/officeDocument/2006/relationships/hyperlink" Target="https://www.teamrankings.com/college-football/team/san-jose-state-spartans" TargetMode="External"/><Relationship Id="rId126" Type="http://schemas.openxmlformats.org/officeDocument/2006/relationships/hyperlink" Target="https://www.teamrankings.com/college-football/team/central-michigan-chippewas" TargetMode="External"/><Relationship Id="rId26" Type="http://schemas.openxmlformats.org/officeDocument/2006/relationships/hyperlink" Target="https://www.teamrankings.com/college-football/team/ohio-bobcats" TargetMode="External"/><Relationship Id="rId121" Type="http://schemas.openxmlformats.org/officeDocument/2006/relationships/hyperlink" Target="https://www.teamrankings.com/college-football/team/arkansas-razorbacks" TargetMode="External"/><Relationship Id="rId25" Type="http://schemas.openxmlformats.org/officeDocument/2006/relationships/hyperlink" Target="https://www.teamrankings.com/college-football/team/washington-huskies" TargetMode="External"/><Relationship Id="rId120" Type="http://schemas.openxmlformats.org/officeDocument/2006/relationships/hyperlink" Target="https://www.teamrankings.com/college-football/team/kent-state-golden-flashes" TargetMode="External"/><Relationship Id="rId28" Type="http://schemas.openxmlformats.org/officeDocument/2006/relationships/hyperlink" Target="https://www.teamrankings.com/college-football/team/penn-state-nittany-lions" TargetMode="External"/><Relationship Id="rId27" Type="http://schemas.openxmlformats.org/officeDocument/2006/relationships/hyperlink" Target="https://www.teamrankings.com/college-football/team/marshall-thundering-herd" TargetMode="External"/><Relationship Id="rId125" Type="http://schemas.openxmlformats.org/officeDocument/2006/relationships/hyperlink" Target="https://www.teamrankings.com/college-football/team/rice-owls" TargetMode="External"/><Relationship Id="rId29" Type="http://schemas.openxmlformats.org/officeDocument/2006/relationships/hyperlink" Target="https://www.teamrankings.com/college-football/team/iowa-hawkeyes" TargetMode="External"/><Relationship Id="rId124" Type="http://schemas.openxmlformats.org/officeDocument/2006/relationships/hyperlink" Target="https://www.teamrankings.com/college-football/team/georgia-state-panthers" TargetMode="External"/><Relationship Id="rId123" Type="http://schemas.openxmlformats.org/officeDocument/2006/relationships/hyperlink" Target="https://www.teamrankings.com/college-football/team/oregon-state-beavers" TargetMode="External"/><Relationship Id="rId122" Type="http://schemas.openxmlformats.org/officeDocument/2006/relationships/hyperlink" Target="https://www.teamrankings.com/college-football/team/louisville-cardinals" TargetMode="External"/><Relationship Id="rId95" Type="http://schemas.openxmlformats.org/officeDocument/2006/relationships/hyperlink" Target="https://www.teamrankings.com/college-football/team/maryland-terrapins" TargetMode="External"/><Relationship Id="rId94" Type="http://schemas.openxmlformats.org/officeDocument/2006/relationships/hyperlink" Target="https://www.teamrankings.com/college-football/team/florida-state-seminoles" TargetMode="External"/><Relationship Id="rId97" Type="http://schemas.openxmlformats.org/officeDocument/2006/relationships/hyperlink" Target="https://www.teamrankings.com/college-football/team/coastal-carolina-chanticleers" TargetMode="External"/><Relationship Id="rId96" Type="http://schemas.openxmlformats.org/officeDocument/2006/relationships/hyperlink" Target="https://www.teamrankings.com/college-football/team/florida-atlantic-owls" TargetMode="External"/><Relationship Id="rId11" Type="http://schemas.openxmlformats.org/officeDocument/2006/relationships/hyperlink" Target="https://www.teamrankings.com/college-football/team/washington-state-cougars" TargetMode="External"/><Relationship Id="rId99" Type="http://schemas.openxmlformats.org/officeDocument/2006/relationships/hyperlink" Target="https://www.teamrankings.com/college-football/team/ball-state-cardinals" TargetMode="External"/><Relationship Id="rId10" Type="http://schemas.openxmlformats.org/officeDocument/2006/relationships/hyperlink" Target="https://www.teamrankings.com/college-football/team/utah-state-aggies" TargetMode="External"/><Relationship Id="rId98" Type="http://schemas.openxmlformats.org/officeDocument/2006/relationships/hyperlink" Target="https://www.teamrankings.com/college-football/team/charlotte-49ers" TargetMode="External"/><Relationship Id="rId13" Type="http://schemas.openxmlformats.org/officeDocument/2006/relationships/hyperlink" Target="https://www.teamrankings.com/college-football/team/georgia-bulldogs" TargetMode="External"/><Relationship Id="rId12" Type="http://schemas.openxmlformats.org/officeDocument/2006/relationships/hyperlink" Target="https://www.teamrankings.com/college-football/team/app-state-mountaineers" TargetMode="External"/><Relationship Id="rId91" Type="http://schemas.openxmlformats.org/officeDocument/2006/relationships/hyperlink" Target="https://www.teamrankings.com/college-football/team/air-force-falcons" TargetMode="External"/><Relationship Id="rId90" Type="http://schemas.openxmlformats.org/officeDocument/2006/relationships/hyperlink" Target="https://www.teamrankings.com/college-football/team/texas-tech-red-raiders" TargetMode="External"/><Relationship Id="rId93" Type="http://schemas.openxmlformats.org/officeDocument/2006/relationships/hyperlink" Target="https://www.teamrankings.com/college-football/team/usc-trojans" TargetMode="External"/><Relationship Id="rId92" Type="http://schemas.openxmlformats.org/officeDocument/2006/relationships/hyperlink" Target="https://www.teamrankings.com/college-football/team/arizona-wildcats" TargetMode="External"/><Relationship Id="rId118" Type="http://schemas.openxmlformats.org/officeDocument/2006/relationships/hyperlink" Target="https://www.teamrankings.com/college-football/team/navy-midshipmen" TargetMode="External"/><Relationship Id="rId117" Type="http://schemas.openxmlformats.org/officeDocument/2006/relationships/hyperlink" Target="https://www.teamrankings.com/college-football/team/utsa-roadrunners" TargetMode="External"/><Relationship Id="rId116" Type="http://schemas.openxmlformats.org/officeDocument/2006/relationships/hyperlink" Target="https://www.teamrankings.com/college-football/team/south-alabama-jaguars" TargetMode="External"/><Relationship Id="rId115" Type="http://schemas.openxmlformats.org/officeDocument/2006/relationships/hyperlink" Target="https://www.teamrankings.com/college-football/team/western-kentucky-hilltoppers" TargetMode="External"/><Relationship Id="rId119" Type="http://schemas.openxmlformats.org/officeDocument/2006/relationships/hyperlink" Target="https://www.teamrankings.com/college-football/team/north-carolina-tar-heels" TargetMode="External"/><Relationship Id="rId15" Type="http://schemas.openxmlformats.org/officeDocument/2006/relationships/hyperlink" Target="https://www.teamrankings.com/college-football/team/boise-state-broncos" TargetMode="External"/><Relationship Id="rId110" Type="http://schemas.openxmlformats.org/officeDocument/2006/relationships/hyperlink" Target="https://www.teamrankings.com/college-football/team/new-mexico-state-aggies" TargetMode="External"/><Relationship Id="rId14" Type="http://schemas.openxmlformats.org/officeDocument/2006/relationships/hyperlink" Target="https://www.teamrankings.com/college-football/team/uab-blazers" TargetMode="External"/><Relationship Id="rId17" Type="http://schemas.openxmlformats.org/officeDocument/2006/relationships/hyperlink" Target="https://www.teamrankings.com/college-football/team/kentucky-wildcats" TargetMode="External"/><Relationship Id="rId16" Type="http://schemas.openxmlformats.org/officeDocument/2006/relationships/hyperlink" Target="https://www.teamrankings.com/college-football/team/florida-gators" TargetMode="External"/><Relationship Id="rId19" Type="http://schemas.openxmlformats.org/officeDocument/2006/relationships/hyperlink" Target="https://www.teamrankings.com/college-football/team/michigan-wolverines" TargetMode="External"/><Relationship Id="rId114" Type="http://schemas.openxmlformats.org/officeDocument/2006/relationships/hyperlink" Target="https://www.teamrankings.com/college-football/team/texas-state-bobcats" TargetMode="External"/><Relationship Id="rId18" Type="http://schemas.openxmlformats.org/officeDocument/2006/relationships/hyperlink" Target="https://www.teamrankings.com/college-football/team/louisiana-state-tigers" TargetMode="External"/><Relationship Id="rId113" Type="http://schemas.openxmlformats.org/officeDocument/2006/relationships/hyperlink" Target="https://www.teamrankings.com/college-football/team/ucla-bruins" TargetMode="External"/><Relationship Id="rId112" Type="http://schemas.openxmlformats.org/officeDocument/2006/relationships/hyperlink" Target="https://www.teamrankings.com/college-football/team/colorado-state-rams" TargetMode="External"/><Relationship Id="rId111" Type="http://schemas.openxmlformats.org/officeDocument/2006/relationships/hyperlink" Target="https://www.teamrankings.com/college-football/team/new-mexico-lobos" TargetMode="External"/><Relationship Id="rId84" Type="http://schemas.openxmlformats.org/officeDocument/2006/relationships/hyperlink" Target="https://www.teamrankings.com/college-football/team/smu-mustangs" TargetMode="External"/><Relationship Id="rId83" Type="http://schemas.openxmlformats.org/officeDocument/2006/relationships/hyperlink" Target="https://www.teamrankings.com/college-football/team/virginia-tech-hokies" TargetMode="External"/><Relationship Id="rId86" Type="http://schemas.openxmlformats.org/officeDocument/2006/relationships/hyperlink" Target="https://www.teamrankings.com/college-football/team/mississippi-rebels" TargetMode="External"/><Relationship Id="rId85" Type="http://schemas.openxmlformats.org/officeDocument/2006/relationships/hyperlink" Target="https://www.teamrankings.com/college-football/team/tennessee-volunteers" TargetMode="External"/><Relationship Id="rId88" Type="http://schemas.openxmlformats.org/officeDocument/2006/relationships/hyperlink" Target="https://www.teamrankings.com/college-football/team/kansas-state-wildcats" TargetMode="External"/><Relationship Id="rId87" Type="http://schemas.openxmlformats.org/officeDocument/2006/relationships/hyperlink" Target="https://www.teamrankings.com/college-football/team/indiana-hoosiers" TargetMode="External"/><Relationship Id="rId89" Type="http://schemas.openxmlformats.org/officeDocument/2006/relationships/hyperlink" Target="https://www.teamrankings.com/college-football/team/colorado-buffaloes" TargetMode="External"/><Relationship Id="rId80" Type="http://schemas.openxmlformats.org/officeDocument/2006/relationships/hyperlink" Target="https://www.teamrankings.com/college-football/team/liberty-flames" TargetMode="External"/><Relationship Id="rId82" Type="http://schemas.openxmlformats.org/officeDocument/2006/relationships/hyperlink" Target="https://www.teamrankings.com/college-football/team/purdue-boilermakers" TargetMode="External"/><Relationship Id="rId81" Type="http://schemas.openxmlformats.org/officeDocument/2006/relationships/hyperlink" Target="https://www.teamrankings.com/college-football/team/vanderbilt-commodores" TargetMode="External"/><Relationship Id="rId1" Type="http://schemas.openxmlformats.org/officeDocument/2006/relationships/hyperlink" Target="https://www.teamrankings.com/college-football/team/clemson-tigers" TargetMode="External"/><Relationship Id="rId2" Type="http://schemas.openxmlformats.org/officeDocument/2006/relationships/hyperlink" Target="https://www.teamrankings.com/college-football/team/alabama-crimson-tide" TargetMode="External"/><Relationship Id="rId3" Type="http://schemas.openxmlformats.org/officeDocument/2006/relationships/hyperlink" Target="https://www.teamrankings.com/college-football/team/ohio-state-buckeyes" TargetMode="External"/><Relationship Id="rId4" Type="http://schemas.openxmlformats.org/officeDocument/2006/relationships/hyperlink" Target="https://www.teamrankings.com/college-football/team/ucf-knights" TargetMode="External"/><Relationship Id="rId9" Type="http://schemas.openxmlformats.org/officeDocument/2006/relationships/hyperlink" Target="https://www.teamrankings.com/college-football/team/army-black-knights" TargetMode="External"/><Relationship Id="rId5" Type="http://schemas.openxmlformats.org/officeDocument/2006/relationships/hyperlink" Target="https://www.teamrankings.com/college-football/team/notre-dame-fighting-irish" TargetMode="External"/><Relationship Id="rId6" Type="http://schemas.openxmlformats.org/officeDocument/2006/relationships/hyperlink" Target="https://www.teamrankings.com/college-football/team/fresno-state-bulldogs" TargetMode="External"/><Relationship Id="rId7" Type="http://schemas.openxmlformats.org/officeDocument/2006/relationships/hyperlink" Target="https://www.teamrankings.com/college-football/team/oklahoma-sooners" TargetMode="External"/><Relationship Id="rId8" Type="http://schemas.openxmlformats.org/officeDocument/2006/relationships/hyperlink" Target="https://www.teamrankings.com/college-football/team/cincinnati-bearcats" TargetMode="External"/><Relationship Id="rId73" Type="http://schemas.openxmlformats.org/officeDocument/2006/relationships/hyperlink" Target="https://www.teamrankings.com/college-football/team/wake-forest-demon-deacons" TargetMode="External"/><Relationship Id="rId72" Type="http://schemas.openxmlformats.org/officeDocument/2006/relationships/hyperlink" Target="https://www.teamrankings.com/college-football/team/miami-hurricanes" TargetMode="External"/><Relationship Id="rId75" Type="http://schemas.openxmlformats.org/officeDocument/2006/relationships/hyperlink" Target="https://www.teamrankings.com/college-football/team/miami-oh-redhawks" TargetMode="External"/><Relationship Id="rId74" Type="http://schemas.openxmlformats.org/officeDocument/2006/relationships/hyperlink" Target="https://www.teamrankings.com/college-football/team/georgia-tech-yellow-jackets" TargetMode="External"/><Relationship Id="rId77" Type="http://schemas.openxmlformats.org/officeDocument/2006/relationships/hyperlink" Target="https://www.teamrankings.com/college-football/team/louisiana-ragin-cajuns" TargetMode="External"/><Relationship Id="rId76" Type="http://schemas.openxmlformats.org/officeDocument/2006/relationships/hyperlink" Target="https://www.teamrankings.com/college-football/team/ul-monroe-warhawks" TargetMode="External"/><Relationship Id="rId79" Type="http://schemas.openxmlformats.org/officeDocument/2006/relationships/hyperlink" Target="https://www.teamrankings.com/college-football/team/pittsburgh-panthers" TargetMode="External"/><Relationship Id="rId78" Type="http://schemas.openxmlformats.org/officeDocument/2006/relationships/hyperlink" Target="https://www.teamrankings.com/college-football/team/wyoming-cowboys" TargetMode="External"/><Relationship Id="rId71" Type="http://schemas.openxmlformats.org/officeDocument/2006/relationships/hyperlink" Target="https://www.teamrankings.com/college-football/team/california-golden-bears" TargetMode="External"/><Relationship Id="rId70" Type="http://schemas.openxmlformats.org/officeDocument/2006/relationships/hyperlink" Target="https://www.teamrankings.com/college-football/team/arizona-state-sun-devils" TargetMode="External"/><Relationship Id="rId132" Type="http://schemas.openxmlformats.org/officeDocument/2006/relationships/hyperlink" Target="https://www.teamrankings.com/college-football/team/missouri-state-bears" TargetMode="External"/><Relationship Id="rId131" Type="http://schemas.openxmlformats.org/officeDocument/2006/relationships/hyperlink" Target="https://www.teamrankings.com/college-football/team/james-madison-dukes" TargetMode="External"/><Relationship Id="rId130" Type="http://schemas.openxmlformats.org/officeDocument/2006/relationships/hyperlink" Target="https://www.teamrankings.com/college-football/team/connecticut-huskies" TargetMode="External"/><Relationship Id="rId136" Type="http://schemas.openxmlformats.org/officeDocument/2006/relationships/drawing" Target="../drawings/drawing8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kennesaw-state-owls" TargetMode="External"/><Relationship Id="rId62" Type="http://schemas.openxmlformats.org/officeDocument/2006/relationships/hyperlink" Target="https://www.teamrankings.com/college-football/team/minnesota-golden-gophers" TargetMode="External"/><Relationship Id="rId61" Type="http://schemas.openxmlformats.org/officeDocument/2006/relationships/hyperlink" Target="https://www.teamrankings.com/college-football/team/michigan-state-spartans" TargetMode="External"/><Relationship Id="rId64" Type="http://schemas.openxmlformats.org/officeDocument/2006/relationships/hyperlink" Target="https://www.teamrankings.com/college-football/team/oklahoma-state-cowboys" TargetMode="External"/><Relationship Id="rId63" Type="http://schemas.openxmlformats.org/officeDocument/2006/relationships/hyperlink" Target="https://www.teamrankings.com/college-football/team/baylor-bears" TargetMode="External"/><Relationship Id="rId66" Type="http://schemas.openxmlformats.org/officeDocument/2006/relationships/hyperlink" Target="https://www.teamrankings.com/college-football/team/south-florida-bulls" TargetMode="External"/><Relationship Id="rId65" Type="http://schemas.openxmlformats.org/officeDocument/2006/relationships/hyperlink" Target="https://www.teamrankings.com/college-football/team/tcu-horned-frogs" TargetMode="External"/><Relationship Id="rId68" Type="http://schemas.openxmlformats.org/officeDocument/2006/relationships/hyperlink" Target="https://www.teamrankings.com/college-football/team/byu-cougars" TargetMode="External"/><Relationship Id="rId67" Type="http://schemas.openxmlformats.org/officeDocument/2006/relationships/hyperlink" Target="https://www.teamrankings.com/college-football/team/tulane-green-wave" TargetMode="External"/><Relationship Id="rId60" Type="http://schemas.openxmlformats.org/officeDocument/2006/relationships/hyperlink" Target="https://www.teamrankings.com/college-football/team/south-carolina-gamecocks" TargetMode="External"/><Relationship Id="rId69" Type="http://schemas.openxmlformats.org/officeDocument/2006/relationships/hyperlink" Target="https://www.teamrankings.com/college-football/team/san-diego-state-aztecs" TargetMode="External"/><Relationship Id="rId51" Type="http://schemas.openxmlformats.org/officeDocument/2006/relationships/hyperlink" Target="https://www.teamrankings.com/college-football/team/boston-college-eagles" TargetMode="External"/><Relationship Id="rId50" Type="http://schemas.openxmlformats.org/officeDocument/2006/relationships/hyperlink" Target="https://www.teamrankings.com/college-football/team/temple-owls" TargetMode="External"/><Relationship Id="rId53" Type="http://schemas.openxmlformats.org/officeDocument/2006/relationships/hyperlink" Target="https://www.teamrankings.com/college-football/team/hawaii-rainbow-warriors" TargetMode="External"/><Relationship Id="rId52" Type="http://schemas.openxmlformats.org/officeDocument/2006/relationships/hyperlink" Target="https://www.teamrankings.com/college-football/team/northern-illinois-huskies" TargetMode="External"/><Relationship Id="rId55" Type="http://schemas.openxmlformats.org/officeDocument/2006/relationships/hyperlink" Target="https://www.teamrankings.com/college-football/team/middle-tennessee-blue-raiders" TargetMode="External"/><Relationship Id="rId54" Type="http://schemas.openxmlformats.org/officeDocument/2006/relationships/hyperlink" Target="https://www.teamrankings.com/college-football/team/memphis-tigers" TargetMode="External"/><Relationship Id="rId57" Type="http://schemas.openxmlformats.org/officeDocument/2006/relationships/hyperlink" Target="https://www.teamrankings.com/college-football/team/western-michigan-broncos" TargetMode="External"/><Relationship Id="rId56" Type="http://schemas.openxmlformats.org/officeDocument/2006/relationships/hyperlink" Target="https://www.teamrankings.com/college-football/team/southern-miss-golden-eagles" TargetMode="External"/><Relationship Id="rId59" Type="http://schemas.openxmlformats.org/officeDocument/2006/relationships/hyperlink" Target="https://www.teamrankings.com/college-football/team/toledo-rockets" TargetMode="External"/><Relationship Id="rId58" Type="http://schemas.openxmlformats.org/officeDocument/2006/relationships/hyperlink" Target="https://www.teamrankings.com/college-football/team/eastern-michigan-eagles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central-michigan-chippewas" TargetMode="External"/><Relationship Id="rId42" Type="http://schemas.openxmlformats.org/officeDocument/2006/relationships/hyperlink" Target="https://www.teamrankings.com/college-football/team/michigan-wolverines" TargetMode="External"/><Relationship Id="rId41" Type="http://schemas.openxmlformats.org/officeDocument/2006/relationships/hyperlink" Target="https://www.teamrankings.com/college-football/team/marshall-thundering-herd" TargetMode="External"/><Relationship Id="rId44" Type="http://schemas.openxmlformats.org/officeDocument/2006/relationships/hyperlink" Target="https://www.teamrankings.com/college-football/team/iowa-state-cyclones" TargetMode="External"/><Relationship Id="rId43" Type="http://schemas.openxmlformats.org/officeDocument/2006/relationships/hyperlink" Target="https://www.teamrankings.com/college-football/team/iowa-hawkeyes" TargetMode="External"/><Relationship Id="rId46" Type="http://schemas.openxmlformats.org/officeDocument/2006/relationships/hyperlink" Target="https://www.teamrankings.com/college-football/team/uab-blazers" TargetMode="External"/><Relationship Id="rId45" Type="http://schemas.openxmlformats.org/officeDocument/2006/relationships/hyperlink" Target="https://www.teamrankings.com/college-football/team/kansas-state-wildcats" TargetMode="External"/><Relationship Id="rId107" Type="http://schemas.openxmlformats.org/officeDocument/2006/relationships/hyperlink" Target="https://www.teamrankings.com/college-football/team/syracuse-orange" TargetMode="External"/><Relationship Id="rId106" Type="http://schemas.openxmlformats.org/officeDocument/2006/relationships/hyperlink" Target="https://www.teamrankings.com/college-football/team/rutgers-scarlet-knights" TargetMode="External"/><Relationship Id="rId105" Type="http://schemas.openxmlformats.org/officeDocument/2006/relationships/hyperlink" Target="https://www.teamrankings.com/college-football/team/maryland-terrapins" TargetMode="External"/><Relationship Id="rId104" Type="http://schemas.openxmlformats.org/officeDocument/2006/relationships/hyperlink" Target="https://www.teamrankings.com/college-football/team/ul-monroe-warhawks" TargetMode="External"/><Relationship Id="rId109" Type="http://schemas.openxmlformats.org/officeDocument/2006/relationships/hyperlink" Target="https://www.teamrankings.com/college-football/team/south-alabama-jaguars" TargetMode="External"/><Relationship Id="rId108" Type="http://schemas.openxmlformats.org/officeDocument/2006/relationships/hyperlink" Target="https://www.teamrankings.com/college-football/team/massachusetts-minutemen" TargetMode="External"/><Relationship Id="rId48" Type="http://schemas.openxmlformats.org/officeDocument/2006/relationships/hyperlink" Target="https://www.teamrankings.com/college-football/team/southern-miss-golden-eagles" TargetMode="External"/><Relationship Id="rId47" Type="http://schemas.openxmlformats.org/officeDocument/2006/relationships/hyperlink" Target="https://www.teamrankings.com/college-football/team/louisville-cardinals" TargetMode="External"/><Relationship Id="rId49" Type="http://schemas.openxmlformats.org/officeDocument/2006/relationships/hyperlink" Target="https://www.teamrankings.com/college-football/team/wyoming-cowboys" TargetMode="External"/><Relationship Id="rId103" Type="http://schemas.openxmlformats.org/officeDocument/2006/relationships/hyperlink" Target="https://www.teamrankings.com/college-football/team/cincinnati-bearcats" TargetMode="External"/><Relationship Id="rId102" Type="http://schemas.openxmlformats.org/officeDocument/2006/relationships/hyperlink" Target="https://www.teamrankings.com/college-football/team/nebraska-cornhuskers" TargetMode="External"/><Relationship Id="rId101" Type="http://schemas.openxmlformats.org/officeDocument/2006/relationships/hyperlink" Target="https://www.teamrankings.com/college-football/team/arkansas-razorbacks" TargetMode="External"/><Relationship Id="rId100" Type="http://schemas.openxmlformats.org/officeDocument/2006/relationships/hyperlink" Target="https://www.teamrankings.com/college-football/team/tennessee-volunteers" TargetMode="External"/><Relationship Id="rId31" Type="http://schemas.openxmlformats.org/officeDocument/2006/relationships/hyperlink" Target="https://www.teamrankings.com/college-football/team/louisiana-state-tigers" TargetMode="External"/><Relationship Id="rId30" Type="http://schemas.openxmlformats.org/officeDocument/2006/relationships/hyperlink" Target="https://www.teamrankings.com/college-football/team/south-carolina-gamecocks" TargetMode="External"/><Relationship Id="rId33" Type="http://schemas.openxmlformats.org/officeDocument/2006/relationships/hyperlink" Target="https://www.teamrankings.com/college-football/team/washington-state-cougars" TargetMode="External"/><Relationship Id="rId32" Type="http://schemas.openxmlformats.org/officeDocument/2006/relationships/hyperlink" Target="https://www.teamrankings.com/college-football/team/mississippi-state-bulldogs" TargetMode="External"/><Relationship Id="rId35" Type="http://schemas.openxmlformats.org/officeDocument/2006/relationships/hyperlink" Target="https://www.teamrankings.com/college-football/team/virginia-tech-hokies" TargetMode="External"/><Relationship Id="rId34" Type="http://schemas.openxmlformats.org/officeDocument/2006/relationships/hyperlink" Target="https://www.teamrankings.com/college-football/team/nc-state-wolfpack" TargetMode="External"/><Relationship Id="rId37" Type="http://schemas.openxmlformats.org/officeDocument/2006/relationships/hyperlink" Target="https://www.teamrankings.com/college-football/team/north-texas-mean-green" TargetMode="External"/><Relationship Id="rId36" Type="http://schemas.openxmlformats.org/officeDocument/2006/relationships/hyperlink" Target="https://www.teamrankings.com/college-football/team/app-state-mountaineers" TargetMode="External"/><Relationship Id="rId39" Type="http://schemas.openxmlformats.org/officeDocument/2006/relationships/hyperlink" Target="https://www.teamrankings.com/college-football/team/northern-illinois-huskies" TargetMode="External"/><Relationship Id="rId38" Type="http://schemas.openxmlformats.org/officeDocument/2006/relationships/hyperlink" Target="https://www.teamrankings.com/college-football/team/stanford-cardinal" TargetMode="External"/><Relationship Id="rId20" Type="http://schemas.openxmlformats.org/officeDocument/2006/relationships/hyperlink" Target="https://www.teamrankings.com/college-football/team/michigan-state-spartans" TargetMode="External"/><Relationship Id="rId22" Type="http://schemas.openxmlformats.org/officeDocument/2006/relationships/hyperlink" Target="https://www.teamrankings.com/college-football/team/memphis-tigers" TargetMode="External"/><Relationship Id="rId21" Type="http://schemas.openxmlformats.org/officeDocument/2006/relationships/hyperlink" Target="https://www.teamrankings.com/college-football/team/oklahoma-state-cowboys" TargetMode="External"/><Relationship Id="rId24" Type="http://schemas.openxmlformats.org/officeDocument/2006/relationships/hyperlink" Target="https://www.teamrankings.com/college-football/team/san-diego-state-aztecs" TargetMode="External"/><Relationship Id="rId23" Type="http://schemas.openxmlformats.org/officeDocument/2006/relationships/hyperlink" Target="https://www.teamrankings.com/college-football/team/army-black-knights" TargetMode="External"/><Relationship Id="rId129" Type="http://schemas.openxmlformats.org/officeDocument/2006/relationships/hyperlink" Target="https://www.teamrankings.com/college-football/team/oregon-state-beavers" TargetMode="External"/><Relationship Id="rId128" Type="http://schemas.openxmlformats.org/officeDocument/2006/relationships/hyperlink" Target="https://www.teamrankings.com/college-football/team/baylor-bears" TargetMode="External"/><Relationship Id="rId127" Type="http://schemas.openxmlformats.org/officeDocument/2006/relationships/hyperlink" Target="https://www.teamrankings.com/college-football/team/kansas-jayhawks" TargetMode="External"/><Relationship Id="rId126" Type="http://schemas.openxmlformats.org/officeDocument/2006/relationships/hyperlink" Target="https://www.teamrankings.com/college-football/team/rice-owls" TargetMode="External"/><Relationship Id="rId26" Type="http://schemas.openxmlformats.org/officeDocument/2006/relationships/hyperlink" Target="https://www.teamrankings.com/college-football/team/miami-hurricanes" TargetMode="External"/><Relationship Id="rId121" Type="http://schemas.openxmlformats.org/officeDocument/2006/relationships/hyperlink" Target="https://www.teamrankings.com/college-football/team/tulsa-golden-hurricane" TargetMode="External"/><Relationship Id="rId25" Type="http://schemas.openxmlformats.org/officeDocument/2006/relationships/hyperlink" Target="https://www.teamrankings.com/college-football/team/washington-huskies" TargetMode="External"/><Relationship Id="rId120" Type="http://schemas.openxmlformats.org/officeDocument/2006/relationships/hyperlink" Target="https://www.teamrankings.com/college-football/team/kent-state-golden-flashes" TargetMode="External"/><Relationship Id="rId28" Type="http://schemas.openxmlformats.org/officeDocument/2006/relationships/hyperlink" Target="https://www.teamrankings.com/college-football/team/auburn-tigers" TargetMode="External"/><Relationship Id="rId27" Type="http://schemas.openxmlformats.org/officeDocument/2006/relationships/hyperlink" Target="https://www.teamrankings.com/college-football/team/fresno-state-bulldogs" TargetMode="External"/><Relationship Id="rId125" Type="http://schemas.openxmlformats.org/officeDocument/2006/relationships/hyperlink" Target="https://www.teamrankings.com/college-football/team/san-jose-state-spartans" TargetMode="External"/><Relationship Id="rId29" Type="http://schemas.openxmlformats.org/officeDocument/2006/relationships/hyperlink" Target="https://www.teamrankings.com/college-football/team/ohio-bobcats" TargetMode="External"/><Relationship Id="rId124" Type="http://schemas.openxmlformats.org/officeDocument/2006/relationships/hyperlink" Target="https://www.teamrankings.com/college-football/team/georgia-southern-eagles" TargetMode="External"/><Relationship Id="rId123" Type="http://schemas.openxmlformats.org/officeDocument/2006/relationships/hyperlink" Target="https://www.teamrankings.com/college-football/team/texas-state-bobcats" TargetMode="External"/><Relationship Id="rId122" Type="http://schemas.openxmlformats.org/officeDocument/2006/relationships/hyperlink" Target="https://www.teamrankings.com/college-football/team/illinois-fighting-illini" TargetMode="External"/><Relationship Id="rId95" Type="http://schemas.openxmlformats.org/officeDocument/2006/relationships/hyperlink" Target="https://www.teamrankings.com/college-football/team/unlv-rebels" TargetMode="External"/><Relationship Id="rId94" Type="http://schemas.openxmlformats.org/officeDocument/2006/relationships/hyperlink" Target="https://www.teamrankings.com/college-football/team/air-force-falcons" TargetMode="External"/><Relationship Id="rId97" Type="http://schemas.openxmlformats.org/officeDocument/2006/relationships/hyperlink" Target="https://www.teamrankings.com/college-football/team/pittsburgh-panthers" TargetMode="External"/><Relationship Id="rId96" Type="http://schemas.openxmlformats.org/officeDocument/2006/relationships/hyperlink" Target="https://www.teamrankings.com/college-football/team/california-golden-bears" TargetMode="External"/><Relationship Id="rId11" Type="http://schemas.openxmlformats.org/officeDocument/2006/relationships/hyperlink" Target="https://www.teamrankings.com/college-football/team/troy-trojans" TargetMode="External"/><Relationship Id="rId99" Type="http://schemas.openxmlformats.org/officeDocument/2006/relationships/hyperlink" Target="https://www.teamrankings.com/college-football/team/florida-gators" TargetMode="External"/><Relationship Id="rId10" Type="http://schemas.openxmlformats.org/officeDocument/2006/relationships/hyperlink" Target="https://www.teamrankings.com/college-football/team/penn-state-nittany-lions" TargetMode="External"/><Relationship Id="rId98" Type="http://schemas.openxmlformats.org/officeDocument/2006/relationships/hyperlink" Target="https://www.teamrankings.com/college-football/team/old-dominion-monarchs" TargetMode="External"/><Relationship Id="rId13" Type="http://schemas.openxmlformats.org/officeDocument/2006/relationships/hyperlink" Target="https://www.teamrankings.com/college-football/team/toledo-rockets" TargetMode="External"/><Relationship Id="rId12" Type="http://schemas.openxmlformats.org/officeDocument/2006/relationships/hyperlink" Target="https://www.teamrankings.com/college-football/team/south-florida-bulls" TargetMode="External"/><Relationship Id="rId91" Type="http://schemas.openxmlformats.org/officeDocument/2006/relationships/hyperlink" Target="https://www.teamrankings.com/college-football/team/colorado-buffaloes" TargetMode="External"/><Relationship Id="rId90" Type="http://schemas.openxmlformats.org/officeDocument/2006/relationships/hyperlink" Target="https://www.teamrankings.com/college-football/team/minnesota-golden-gophers" TargetMode="External"/><Relationship Id="rId93" Type="http://schemas.openxmlformats.org/officeDocument/2006/relationships/hyperlink" Target="https://www.teamrankings.com/college-football/team/louisiana-ragin-cajuns" TargetMode="External"/><Relationship Id="rId92" Type="http://schemas.openxmlformats.org/officeDocument/2006/relationships/hyperlink" Target="https://www.teamrankings.com/college-football/team/tulane-green-wave" TargetMode="External"/><Relationship Id="rId118" Type="http://schemas.openxmlformats.org/officeDocument/2006/relationships/hyperlink" Target="https://www.teamrankings.com/college-football/team/ball-state-cardinals" TargetMode="External"/><Relationship Id="rId117" Type="http://schemas.openxmlformats.org/officeDocument/2006/relationships/hyperlink" Target="https://www.teamrankings.com/college-football/team/coastal-carolina-chanticleers" TargetMode="External"/><Relationship Id="rId116" Type="http://schemas.openxmlformats.org/officeDocument/2006/relationships/hyperlink" Target="https://www.teamrankings.com/college-football/team/connecticut-huskies" TargetMode="External"/><Relationship Id="rId115" Type="http://schemas.openxmlformats.org/officeDocument/2006/relationships/hyperlink" Target="https://www.teamrankings.com/college-football/team/north-carolina-tar-heels" TargetMode="External"/><Relationship Id="rId119" Type="http://schemas.openxmlformats.org/officeDocument/2006/relationships/hyperlink" Target="https://www.teamrankings.com/college-football/team/bowling-green-falcons" TargetMode="External"/><Relationship Id="rId15" Type="http://schemas.openxmlformats.org/officeDocument/2006/relationships/hyperlink" Target="https://www.teamrankings.com/college-football/team/tcu-horned-frogs" TargetMode="External"/><Relationship Id="rId110" Type="http://schemas.openxmlformats.org/officeDocument/2006/relationships/hyperlink" Target="https://www.teamrankings.com/college-football/team/byu-cougars" TargetMode="External"/><Relationship Id="rId14" Type="http://schemas.openxmlformats.org/officeDocument/2006/relationships/hyperlink" Target="https://www.teamrankings.com/college-football/team/boise-state-broncos" TargetMode="External"/><Relationship Id="rId17" Type="http://schemas.openxmlformats.org/officeDocument/2006/relationships/hyperlink" Target="https://www.teamrankings.com/college-football/team/florida-atlantic-owls" TargetMode="External"/><Relationship Id="rId16" Type="http://schemas.openxmlformats.org/officeDocument/2006/relationships/hyperlink" Target="https://www.teamrankings.com/college-football/team/usc-trojans" TargetMode="External"/><Relationship Id="rId19" Type="http://schemas.openxmlformats.org/officeDocument/2006/relationships/hyperlink" Target="https://www.teamrankings.com/college-football/team/northwestern-wildcats" TargetMode="External"/><Relationship Id="rId114" Type="http://schemas.openxmlformats.org/officeDocument/2006/relationships/hyperlink" Target="https://www.teamrankings.com/college-football/team/new-mexico-lobos" TargetMode="External"/><Relationship Id="rId18" Type="http://schemas.openxmlformats.org/officeDocument/2006/relationships/hyperlink" Target="https://www.teamrankings.com/college-football/team/notre-dame-fighting-irish" TargetMode="External"/><Relationship Id="rId113" Type="http://schemas.openxmlformats.org/officeDocument/2006/relationships/hyperlink" Target="https://www.teamrankings.com/college-football/team/east-carolina-pirates" TargetMode="External"/><Relationship Id="rId112" Type="http://schemas.openxmlformats.org/officeDocument/2006/relationships/hyperlink" Target="https://www.teamrankings.com/college-football/team/hawaii-rainbow-warriors" TargetMode="External"/><Relationship Id="rId111" Type="http://schemas.openxmlformats.org/officeDocument/2006/relationships/hyperlink" Target="https://www.teamrankings.com/college-football/team/nevada-wolf-pack" TargetMode="External"/><Relationship Id="rId84" Type="http://schemas.openxmlformats.org/officeDocument/2006/relationships/hyperlink" Target="https://www.teamrankings.com/college-football/team/western-kentucky-hilltoppers" TargetMode="External"/><Relationship Id="rId83" Type="http://schemas.openxmlformats.org/officeDocument/2006/relationships/hyperlink" Target="https://www.teamrankings.com/college-football/team/virginia-cavaliers" TargetMode="External"/><Relationship Id="rId86" Type="http://schemas.openxmlformats.org/officeDocument/2006/relationships/hyperlink" Target="https://www.teamrankings.com/college-football/team/eastern-michigan-eagles" TargetMode="External"/><Relationship Id="rId85" Type="http://schemas.openxmlformats.org/officeDocument/2006/relationships/hyperlink" Target="https://www.teamrankings.com/college-football/team/georgia-tech-yellow-jackets" TargetMode="External"/><Relationship Id="rId88" Type="http://schemas.openxmlformats.org/officeDocument/2006/relationships/hyperlink" Target="https://www.teamrankings.com/college-football/team/vanderbilt-commodores" TargetMode="External"/><Relationship Id="rId87" Type="http://schemas.openxmlformats.org/officeDocument/2006/relationships/hyperlink" Target="https://www.teamrankings.com/college-football/team/miami-oh-redhawks" TargetMode="External"/><Relationship Id="rId89" Type="http://schemas.openxmlformats.org/officeDocument/2006/relationships/hyperlink" Target="https://www.teamrankings.com/college-football/team/indiana-hoosiers" TargetMode="External"/><Relationship Id="rId80" Type="http://schemas.openxmlformats.org/officeDocument/2006/relationships/hyperlink" Target="https://www.teamrankings.com/college-football/team/texas-tech-red-raiders" TargetMode="External"/><Relationship Id="rId82" Type="http://schemas.openxmlformats.org/officeDocument/2006/relationships/hyperlink" Target="https://www.teamrankings.com/college-football/team/ucla-bruins" TargetMode="External"/><Relationship Id="rId81" Type="http://schemas.openxmlformats.org/officeDocument/2006/relationships/hyperlink" Target="https://www.teamrankings.com/college-football/team/utah-state-aggies" TargetMode="External"/><Relationship Id="rId1" Type="http://schemas.openxmlformats.org/officeDocument/2006/relationships/hyperlink" Target="https://www.teamrankings.com/college-football/team/ucf-knights" TargetMode="External"/><Relationship Id="rId2" Type="http://schemas.openxmlformats.org/officeDocument/2006/relationships/hyperlink" Target="https://www.teamrankings.com/college-football/team/james-madison-dukes" TargetMode="External"/><Relationship Id="rId3" Type="http://schemas.openxmlformats.org/officeDocument/2006/relationships/hyperlink" Target="https://www.teamrankings.com/college-football/team/liberty-flames" TargetMode="External"/><Relationship Id="rId4" Type="http://schemas.openxmlformats.org/officeDocument/2006/relationships/hyperlink" Target="https://www.teamrankings.com/college-football/team/alabama-crimson-tide" TargetMode="External"/><Relationship Id="rId9" Type="http://schemas.openxmlformats.org/officeDocument/2006/relationships/hyperlink" Target="https://www.teamrankings.com/college-football/team/clemson-tigers" TargetMode="External"/><Relationship Id="rId5" Type="http://schemas.openxmlformats.org/officeDocument/2006/relationships/hyperlink" Target="https://www.teamrankings.com/college-football/team/wisconsin-badgers" TargetMode="External"/><Relationship Id="rId6" Type="http://schemas.openxmlformats.org/officeDocument/2006/relationships/hyperlink" Target="https://www.teamrankings.com/college-football/team/georgia-bulldogs" TargetMode="External"/><Relationship Id="rId7" Type="http://schemas.openxmlformats.org/officeDocument/2006/relationships/hyperlink" Target="https://www.teamrankings.com/college-football/team/ohio-state-buckeyes" TargetMode="External"/><Relationship Id="rId8" Type="http://schemas.openxmlformats.org/officeDocument/2006/relationships/hyperlink" Target="https://www.teamrankings.com/college-football/team/oklahoma-sooners" TargetMode="External"/><Relationship Id="rId73" Type="http://schemas.openxmlformats.org/officeDocument/2006/relationships/hyperlink" Target="https://www.teamrankings.com/college-football/team/temple-owls" TargetMode="External"/><Relationship Id="rId72" Type="http://schemas.openxmlformats.org/officeDocument/2006/relationships/hyperlink" Target="https://www.teamrankings.com/college-football/team/duke-blue-devils" TargetMode="External"/><Relationship Id="rId75" Type="http://schemas.openxmlformats.org/officeDocument/2006/relationships/hyperlink" Target="https://www.teamrankings.com/college-football/team/west-virginia-mountaineers" TargetMode="External"/><Relationship Id="rId74" Type="http://schemas.openxmlformats.org/officeDocument/2006/relationships/hyperlink" Target="https://www.teamrankings.com/college-football/team/boston-college-eagles" TargetMode="External"/><Relationship Id="rId77" Type="http://schemas.openxmlformats.org/officeDocument/2006/relationships/hyperlink" Target="https://www.teamrankings.com/college-football/team/akron-zips" TargetMode="External"/><Relationship Id="rId76" Type="http://schemas.openxmlformats.org/officeDocument/2006/relationships/hyperlink" Target="https://www.teamrankings.com/college-football/team/western-michigan-broncos" TargetMode="External"/><Relationship Id="rId79" Type="http://schemas.openxmlformats.org/officeDocument/2006/relationships/hyperlink" Target="https://www.teamrankings.com/college-football/team/mississippi-rebels" TargetMode="External"/><Relationship Id="rId78" Type="http://schemas.openxmlformats.org/officeDocument/2006/relationships/hyperlink" Target="https://www.teamrankings.com/college-football/team/buffalo-bulls" TargetMode="External"/><Relationship Id="rId71" Type="http://schemas.openxmlformats.org/officeDocument/2006/relationships/hyperlink" Target="https://www.teamrankings.com/college-football/team/florida-state-seminoles" TargetMode="External"/><Relationship Id="rId70" Type="http://schemas.openxmlformats.org/officeDocument/2006/relationships/hyperlink" Target="https://www.teamrankings.com/college-football/team/oregon-ducks" TargetMode="External"/><Relationship Id="rId132" Type="http://schemas.openxmlformats.org/officeDocument/2006/relationships/hyperlink" Target="https://www.teamrankings.com/college-football/team/delaware-fightin-blue-hens" TargetMode="External"/><Relationship Id="rId131" Type="http://schemas.openxmlformats.org/officeDocument/2006/relationships/hyperlink" Target="https://www.teamrankings.com/college-football/team/utep-miners" TargetMode="External"/><Relationship Id="rId130" Type="http://schemas.openxmlformats.org/officeDocument/2006/relationships/hyperlink" Target="https://www.teamrankings.com/college-football/team/charlotte-49ers" TargetMode="External"/><Relationship Id="rId136" Type="http://schemas.openxmlformats.org/officeDocument/2006/relationships/drawing" Target="../drawings/drawing9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jacksonville-state-gamecocks" TargetMode="External"/><Relationship Id="rId62" Type="http://schemas.openxmlformats.org/officeDocument/2006/relationships/hyperlink" Target="https://www.teamrankings.com/college-football/team/texas-longhorns" TargetMode="External"/><Relationship Id="rId61" Type="http://schemas.openxmlformats.org/officeDocument/2006/relationships/hyperlink" Target="https://www.teamrankings.com/college-football/team/missouri-tigers" TargetMode="External"/><Relationship Id="rId64" Type="http://schemas.openxmlformats.org/officeDocument/2006/relationships/hyperlink" Target="https://www.teamrankings.com/college-football/team/middle-tennessee-blue-raiders" TargetMode="External"/><Relationship Id="rId63" Type="http://schemas.openxmlformats.org/officeDocument/2006/relationships/hyperlink" Target="https://www.teamrankings.com/college-football/team/texas-am-aggies" TargetMode="External"/><Relationship Id="rId66" Type="http://schemas.openxmlformats.org/officeDocument/2006/relationships/hyperlink" Target="https://www.teamrankings.com/college-football/team/utah-utes" TargetMode="External"/><Relationship Id="rId65" Type="http://schemas.openxmlformats.org/officeDocument/2006/relationships/hyperlink" Target="https://www.teamrankings.com/college-football/team/new-mexico-state-aggies" TargetMode="External"/><Relationship Id="rId68" Type="http://schemas.openxmlformats.org/officeDocument/2006/relationships/hyperlink" Target="https://www.teamrankings.com/college-football/team/arizona-state-sun-devils" TargetMode="External"/><Relationship Id="rId67" Type="http://schemas.openxmlformats.org/officeDocument/2006/relationships/hyperlink" Target="https://www.teamrankings.com/college-football/team/colorado-state-rams" TargetMode="External"/><Relationship Id="rId60" Type="http://schemas.openxmlformats.org/officeDocument/2006/relationships/hyperlink" Target="https://www.teamrankings.com/college-football/team/purdue-boilermakers" TargetMode="External"/><Relationship Id="rId69" Type="http://schemas.openxmlformats.org/officeDocument/2006/relationships/hyperlink" Target="https://www.teamrankings.com/college-football/team/arizona-wildcats" TargetMode="External"/><Relationship Id="rId51" Type="http://schemas.openxmlformats.org/officeDocument/2006/relationships/hyperlink" Target="https://www.teamrankings.com/college-football/team/florida-international-panthers" TargetMode="External"/><Relationship Id="rId50" Type="http://schemas.openxmlformats.org/officeDocument/2006/relationships/hyperlink" Target="https://www.teamrankings.com/college-football/team/wake-forest-demon-deacons" TargetMode="External"/><Relationship Id="rId53" Type="http://schemas.openxmlformats.org/officeDocument/2006/relationships/hyperlink" Target="https://www.teamrankings.com/college-football/team/arkansas-state-red-wolves" TargetMode="External"/><Relationship Id="rId52" Type="http://schemas.openxmlformats.org/officeDocument/2006/relationships/hyperlink" Target="https://www.teamrankings.com/college-football/team/houston-cougars" TargetMode="External"/><Relationship Id="rId55" Type="http://schemas.openxmlformats.org/officeDocument/2006/relationships/hyperlink" Target="https://www.teamrankings.com/college-football/team/utsa-roadrunners" TargetMode="External"/><Relationship Id="rId54" Type="http://schemas.openxmlformats.org/officeDocument/2006/relationships/hyperlink" Target="https://www.teamrankings.com/college-football/team/georgia-state-panthers" TargetMode="External"/><Relationship Id="rId57" Type="http://schemas.openxmlformats.org/officeDocument/2006/relationships/hyperlink" Target="https://www.teamrankings.com/college-football/team/smu-mustangs" TargetMode="External"/><Relationship Id="rId56" Type="http://schemas.openxmlformats.org/officeDocument/2006/relationships/hyperlink" Target="https://www.teamrankings.com/college-football/team/louisiana-tech-bulldogs" TargetMode="External"/><Relationship Id="rId59" Type="http://schemas.openxmlformats.org/officeDocument/2006/relationships/hyperlink" Target="https://www.teamrankings.com/college-football/team/kentucky-wildcats" TargetMode="External"/><Relationship Id="rId58" Type="http://schemas.openxmlformats.org/officeDocument/2006/relationships/hyperlink" Target="https://www.teamrankings.com/college-football/team/navy-midshipmen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louisiana-state-tigers" TargetMode="External"/><Relationship Id="rId42" Type="http://schemas.openxmlformats.org/officeDocument/2006/relationships/hyperlink" Target="https://www.teamrankings.com/college-football/team/navy-midshipmen" TargetMode="External"/><Relationship Id="rId41" Type="http://schemas.openxmlformats.org/officeDocument/2006/relationships/hyperlink" Target="https://www.teamrankings.com/college-football/team/louisiana-tech-bulldogs" TargetMode="External"/><Relationship Id="rId44" Type="http://schemas.openxmlformats.org/officeDocument/2006/relationships/hyperlink" Target="https://www.teamrankings.com/college-football/team/auburn-tigers" TargetMode="External"/><Relationship Id="rId43" Type="http://schemas.openxmlformats.org/officeDocument/2006/relationships/hyperlink" Target="https://www.teamrankings.com/college-football/team/georgia-bulldogs" TargetMode="External"/><Relationship Id="rId46" Type="http://schemas.openxmlformats.org/officeDocument/2006/relationships/hyperlink" Target="https://www.teamrankings.com/college-football/team/texas-am-aggies" TargetMode="External"/><Relationship Id="rId45" Type="http://schemas.openxmlformats.org/officeDocument/2006/relationships/hyperlink" Target="https://www.teamrankings.com/college-football/team/iowa-hawkeyes" TargetMode="External"/><Relationship Id="rId107" Type="http://schemas.openxmlformats.org/officeDocument/2006/relationships/hyperlink" Target="https://www.teamrankings.com/college-football/team/marshall-thundering-herd" TargetMode="External"/><Relationship Id="rId106" Type="http://schemas.openxmlformats.org/officeDocument/2006/relationships/hyperlink" Target="https://www.teamrankings.com/college-football/team/charlotte-49ers" TargetMode="External"/><Relationship Id="rId105" Type="http://schemas.openxmlformats.org/officeDocument/2006/relationships/hyperlink" Target="https://www.teamrankings.com/college-football/team/florida-international-panthers" TargetMode="External"/><Relationship Id="rId104" Type="http://schemas.openxmlformats.org/officeDocument/2006/relationships/hyperlink" Target="https://www.teamrankings.com/college-football/team/syracuse-orange" TargetMode="External"/><Relationship Id="rId109" Type="http://schemas.openxmlformats.org/officeDocument/2006/relationships/hyperlink" Target="https://www.teamrankings.com/college-football/team/rice-owls" TargetMode="External"/><Relationship Id="rId108" Type="http://schemas.openxmlformats.org/officeDocument/2006/relationships/hyperlink" Target="https://www.teamrankings.com/college-football/team/kent-state-golden-flashes" TargetMode="External"/><Relationship Id="rId48" Type="http://schemas.openxmlformats.org/officeDocument/2006/relationships/hyperlink" Target="https://www.teamrankings.com/college-football/team/army-black-knights" TargetMode="External"/><Relationship Id="rId47" Type="http://schemas.openxmlformats.org/officeDocument/2006/relationships/hyperlink" Target="https://www.teamrankings.com/college-football/team/memphis-tigers" TargetMode="External"/><Relationship Id="rId49" Type="http://schemas.openxmlformats.org/officeDocument/2006/relationships/hyperlink" Target="https://www.teamrankings.com/college-football/team/middle-tennessee-blue-raiders" TargetMode="External"/><Relationship Id="rId103" Type="http://schemas.openxmlformats.org/officeDocument/2006/relationships/hyperlink" Target="https://www.teamrankings.com/college-football/team/duke-blue-devils" TargetMode="External"/><Relationship Id="rId102" Type="http://schemas.openxmlformats.org/officeDocument/2006/relationships/hyperlink" Target="https://www.teamrankings.com/college-football/team/ucla-bruins" TargetMode="External"/><Relationship Id="rId101" Type="http://schemas.openxmlformats.org/officeDocument/2006/relationships/hyperlink" Target="https://www.teamrankings.com/college-football/team/oregon-ducks" TargetMode="External"/><Relationship Id="rId100" Type="http://schemas.openxmlformats.org/officeDocument/2006/relationships/hyperlink" Target="https://www.teamrankings.com/college-football/team/oregon-state-beavers" TargetMode="External"/><Relationship Id="rId31" Type="http://schemas.openxmlformats.org/officeDocument/2006/relationships/hyperlink" Target="https://www.teamrankings.com/college-football/team/kansas-state-wildcats" TargetMode="External"/><Relationship Id="rId30" Type="http://schemas.openxmlformats.org/officeDocument/2006/relationships/hyperlink" Target="https://www.teamrankings.com/college-football/team/minnesota-golden-gophers" TargetMode="External"/><Relationship Id="rId33" Type="http://schemas.openxmlformats.org/officeDocument/2006/relationships/hyperlink" Target="https://www.teamrankings.com/college-football/team/houston-cougars" TargetMode="External"/><Relationship Id="rId32" Type="http://schemas.openxmlformats.org/officeDocument/2006/relationships/hyperlink" Target="https://www.teamrankings.com/college-football/team/nebraska-cornhuskers" TargetMode="External"/><Relationship Id="rId35" Type="http://schemas.openxmlformats.org/officeDocument/2006/relationships/hyperlink" Target="https://www.teamrankings.com/college-football/team/new-mexico-lobos" TargetMode="External"/><Relationship Id="rId34" Type="http://schemas.openxmlformats.org/officeDocument/2006/relationships/hyperlink" Target="https://www.teamrankings.com/college-football/team/louisville-cardinals" TargetMode="External"/><Relationship Id="rId37" Type="http://schemas.openxmlformats.org/officeDocument/2006/relationships/hyperlink" Target="https://www.teamrankings.com/college-football/team/byu-cougars" TargetMode="External"/><Relationship Id="rId36" Type="http://schemas.openxmlformats.org/officeDocument/2006/relationships/hyperlink" Target="https://www.teamrankings.com/college-football/team/utah-utes" TargetMode="External"/><Relationship Id="rId39" Type="http://schemas.openxmlformats.org/officeDocument/2006/relationships/hyperlink" Target="https://www.teamrankings.com/college-football/team/georgia-tech-yellow-jackets" TargetMode="External"/><Relationship Id="rId38" Type="http://schemas.openxmlformats.org/officeDocument/2006/relationships/hyperlink" Target="https://www.teamrankings.com/college-football/team/miami-hurricanes" TargetMode="External"/><Relationship Id="rId20" Type="http://schemas.openxmlformats.org/officeDocument/2006/relationships/hyperlink" Target="https://www.teamrankings.com/college-football/team/florida-state-seminoles" TargetMode="External"/><Relationship Id="rId22" Type="http://schemas.openxmlformats.org/officeDocument/2006/relationships/hyperlink" Target="https://www.teamrankings.com/college-football/team/app-state-mountaineers" TargetMode="External"/><Relationship Id="rId21" Type="http://schemas.openxmlformats.org/officeDocument/2006/relationships/hyperlink" Target="https://www.teamrankings.com/college-football/team/west-virginia-mountaineers" TargetMode="External"/><Relationship Id="rId24" Type="http://schemas.openxmlformats.org/officeDocument/2006/relationships/hyperlink" Target="https://www.teamrankings.com/college-football/team/colorado-buffaloes" TargetMode="External"/><Relationship Id="rId23" Type="http://schemas.openxmlformats.org/officeDocument/2006/relationships/hyperlink" Target="https://www.teamrankings.com/college-football/team/old-dominion-monarchs" TargetMode="External"/><Relationship Id="rId129" Type="http://schemas.openxmlformats.org/officeDocument/2006/relationships/hyperlink" Target="https://www.teamrankings.com/college-football/team/james-madison-dukes" TargetMode="External"/><Relationship Id="rId128" Type="http://schemas.openxmlformats.org/officeDocument/2006/relationships/hyperlink" Target="https://www.teamrankings.com/college-football/team/delaware-fightin-blue-hens" TargetMode="External"/><Relationship Id="rId127" Type="http://schemas.openxmlformats.org/officeDocument/2006/relationships/hyperlink" Target="https://www.teamrankings.com/college-football/team/fresno-state-bulldogs" TargetMode="External"/><Relationship Id="rId126" Type="http://schemas.openxmlformats.org/officeDocument/2006/relationships/hyperlink" Target="https://www.teamrankings.com/college-football/team/texas-state-bobcats" TargetMode="External"/><Relationship Id="rId26" Type="http://schemas.openxmlformats.org/officeDocument/2006/relationships/hyperlink" Target="https://www.teamrankings.com/college-football/team/temple-owls" TargetMode="External"/><Relationship Id="rId121" Type="http://schemas.openxmlformats.org/officeDocument/2006/relationships/hyperlink" Target="https://www.teamrankings.com/college-football/team/buffalo-bulls" TargetMode="External"/><Relationship Id="rId25" Type="http://schemas.openxmlformats.org/officeDocument/2006/relationships/hyperlink" Target="https://www.teamrankings.com/college-football/team/virginia-tech-hokies" TargetMode="External"/><Relationship Id="rId120" Type="http://schemas.openxmlformats.org/officeDocument/2006/relationships/hyperlink" Target="https://www.teamrankings.com/college-football/team/georgia-state-panthers" TargetMode="External"/><Relationship Id="rId28" Type="http://schemas.openxmlformats.org/officeDocument/2006/relationships/hyperlink" Target="https://www.teamrankings.com/college-football/team/florida-gators" TargetMode="External"/><Relationship Id="rId27" Type="http://schemas.openxmlformats.org/officeDocument/2006/relationships/hyperlink" Target="https://www.teamrankings.com/college-football/team/toledo-rockets" TargetMode="External"/><Relationship Id="rId125" Type="http://schemas.openxmlformats.org/officeDocument/2006/relationships/hyperlink" Target="https://www.teamrankings.com/college-football/team/massachusetts-minutemen" TargetMode="External"/><Relationship Id="rId29" Type="http://schemas.openxmlformats.org/officeDocument/2006/relationships/hyperlink" Target="https://www.teamrankings.com/college-football/team/tennessee-volunteers" TargetMode="External"/><Relationship Id="rId124" Type="http://schemas.openxmlformats.org/officeDocument/2006/relationships/hyperlink" Target="https://www.teamrankings.com/college-football/team/rutgers-scarlet-knights" TargetMode="External"/><Relationship Id="rId123" Type="http://schemas.openxmlformats.org/officeDocument/2006/relationships/hyperlink" Target="https://www.teamrankings.com/college-football/team/virginia-cavaliers" TargetMode="External"/><Relationship Id="rId122" Type="http://schemas.openxmlformats.org/officeDocument/2006/relationships/hyperlink" Target="https://www.teamrankings.com/college-football/team/kansas-jayhawks" TargetMode="External"/><Relationship Id="rId95" Type="http://schemas.openxmlformats.org/officeDocument/2006/relationships/hyperlink" Target="https://www.teamrankings.com/college-football/team/missouri-tigers" TargetMode="External"/><Relationship Id="rId94" Type="http://schemas.openxmlformats.org/officeDocument/2006/relationships/hyperlink" Target="https://www.teamrankings.com/college-football/team/notre-dame-fighting-irish" TargetMode="External"/><Relationship Id="rId97" Type="http://schemas.openxmlformats.org/officeDocument/2006/relationships/hyperlink" Target="https://www.teamrankings.com/college-football/team/tulane-green-wave" TargetMode="External"/><Relationship Id="rId96" Type="http://schemas.openxmlformats.org/officeDocument/2006/relationships/hyperlink" Target="https://www.teamrankings.com/college-football/team/cincinnati-bearcats" TargetMode="External"/><Relationship Id="rId11" Type="http://schemas.openxmlformats.org/officeDocument/2006/relationships/hyperlink" Target="https://www.teamrankings.com/college-football/team/western-kentucky-hilltoppers" TargetMode="External"/><Relationship Id="rId99" Type="http://schemas.openxmlformats.org/officeDocument/2006/relationships/hyperlink" Target="https://www.teamrankings.com/college-football/team/unlv-rebels" TargetMode="External"/><Relationship Id="rId10" Type="http://schemas.openxmlformats.org/officeDocument/2006/relationships/hyperlink" Target="https://www.teamrankings.com/college-football/team/san-diego-state-aztecs" TargetMode="External"/><Relationship Id="rId98" Type="http://schemas.openxmlformats.org/officeDocument/2006/relationships/hyperlink" Target="https://www.teamrankings.com/college-football/team/ul-monroe-warhawks" TargetMode="External"/><Relationship Id="rId13" Type="http://schemas.openxmlformats.org/officeDocument/2006/relationships/hyperlink" Target="https://www.teamrankings.com/college-football/team/tulsa-golden-hurricane" TargetMode="External"/><Relationship Id="rId12" Type="http://schemas.openxmlformats.org/officeDocument/2006/relationships/hyperlink" Target="https://www.teamrankings.com/college-football/team/boise-state-broncos" TargetMode="External"/><Relationship Id="rId91" Type="http://schemas.openxmlformats.org/officeDocument/2006/relationships/hyperlink" Target="https://www.teamrankings.com/college-football/team/bowling-green-falcons" TargetMode="External"/><Relationship Id="rId90" Type="http://schemas.openxmlformats.org/officeDocument/2006/relationships/hyperlink" Target="https://www.teamrankings.com/college-football/team/ball-state-cardinals" TargetMode="External"/><Relationship Id="rId93" Type="http://schemas.openxmlformats.org/officeDocument/2006/relationships/hyperlink" Target="https://www.teamrankings.com/college-football/team/utep-miners" TargetMode="External"/><Relationship Id="rId92" Type="http://schemas.openxmlformats.org/officeDocument/2006/relationships/hyperlink" Target="https://www.teamrankings.com/college-football/team/san-jose-state-spartans" TargetMode="External"/><Relationship Id="rId118" Type="http://schemas.openxmlformats.org/officeDocument/2006/relationships/hyperlink" Target="https://www.teamrankings.com/college-football/team/connecticut-huskies" TargetMode="External"/><Relationship Id="rId117" Type="http://schemas.openxmlformats.org/officeDocument/2006/relationships/hyperlink" Target="https://www.teamrankings.com/college-football/team/arizona-wildcats" TargetMode="External"/><Relationship Id="rId116" Type="http://schemas.openxmlformats.org/officeDocument/2006/relationships/hyperlink" Target="https://www.teamrankings.com/college-football/team/new-mexico-state-aggies" TargetMode="External"/><Relationship Id="rId115" Type="http://schemas.openxmlformats.org/officeDocument/2006/relationships/hyperlink" Target="https://www.teamrankings.com/college-football/team/utah-state-aggies" TargetMode="External"/><Relationship Id="rId119" Type="http://schemas.openxmlformats.org/officeDocument/2006/relationships/hyperlink" Target="https://www.teamrankings.com/college-football/team/florida-atlantic-owls" TargetMode="External"/><Relationship Id="rId15" Type="http://schemas.openxmlformats.org/officeDocument/2006/relationships/hyperlink" Target="https://www.teamrankings.com/college-football/team/oklahoma-state-cowboys" TargetMode="External"/><Relationship Id="rId110" Type="http://schemas.openxmlformats.org/officeDocument/2006/relationships/hyperlink" Target="https://www.teamrankings.com/college-football/team/michigan-state-spartans" TargetMode="External"/><Relationship Id="rId14" Type="http://schemas.openxmlformats.org/officeDocument/2006/relationships/hyperlink" Target="https://www.teamrankings.com/college-football/team/michigan-wolverines" TargetMode="External"/><Relationship Id="rId17" Type="http://schemas.openxmlformats.org/officeDocument/2006/relationships/hyperlink" Target="https://www.teamrankings.com/college-football/team/air-force-falcons" TargetMode="External"/><Relationship Id="rId16" Type="http://schemas.openxmlformats.org/officeDocument/2006/relationships/hyperlink" Target="https://www.teamrankings.com/college-football/team/troy-trojans" TargetMode="External"/><Relationship Id="rId19" Type="http://schemas.openxmlformats.org/officeDocument/2006/relationships/hyperlink" Target="https://www.teamrankings.com/college-football/team/usc-trojans" TargetMode="External"/><Relationship Id="rId114" Type="http://schemas.openxmlformats.org/officeDocument/2006/relationships/hyperlink" Target="https://www.teamrankings.com/college-football/team/east-carolina-pirates" TargetMode="External"/><Relationship Id="rId18" Type="http://schemas.openxmlformats.org/officeDocument/2006/relationships/hyperlink" Target="https://www.teamrankings.com/college-football/team/stanford-cardinal" TargetMode="External"/><Relationship Id="rId113" Type="http://schemas.openxmlformats.org/officeDocument/2006/relationships/hyperlink" Target="https://www.teamrankings.com/college-football/team/iowa-state-cyclones" TargetMode="External"/><Relationship Id="rId112" Type="http://schemas.openxmlformats.org/officeDocument/2006/relationships/hyperlink" Target="https://www.teamrankings.com/college-football/team/illinois-fighting-illini" TargetMode="External"/><Relationship Id="rId111" Type="http://schemas.openxmlformats.org/officeDocument/2006/relationships/hyperlink" Target="https://www.teamrankings.com/college-football/team/purdue-boilermakers" TargetMode="External"/><Relationship Id="rId84" Type="http://schemas.openxmlformats.org/officeDocument/2006/relationships/hyperlink" Target="https://www.teamrankings.com/college-football/team/texas-longhorns" TargetMode="External"/><Relationship Id="rId83" Type="http://schemas.openxmlformats.org/officeDocument/2006/relationships/hyperlink" Target="https://www.teamrankings.com/college-football/team/mississippi-rebels" TargetMode="External"/><Relationship Id="rId86" Type="http://schemas.openxmlformats.org/officeDocument/2006/relationships/hyperlink" Target="https://www.teamrankings.com/college-football/team/arizona-state-sun-devils" TargetMode="External"/><Relationship Id="rId85" Type="http://schemas.openxmlformats.org/officeDocument/2006/relationships/hyperlink" Target="https://www.teamrankings.com/college-football/team/texas-tech-red-raiders" TargetMode="External"/><Relationship Id="rId88" Type="http://schemas.openxmlformats.org/officeDocument/2006/relationships/hyperlink" Target="https://www.teamrankings.com/college-football/team/georgia-southern-eagles" TargetMode="External"/><Relationship Id="rId87" Type="http://schemas.openxmlformats.org/officeDocument/2006/relationships/hyperlink" Target="https://www.teamrankings.com/college-football/team/california-golden-bears" TargetMode="External"/><Relationship Id="rId89" Type="http://schemas.openxmlformats.org/officeDocument/2006/relationships/hyperlink" Target="https://www.teamrankings.com/college-football/team/north-texas-mean-green" TargetMode="External"/><Relationship Id="rId80" Type="http://schemas.openxmlformats.org/officeDocument/2006/relationships/hyperlink" Target="https://www.teamrankings.com/college-football/team/akron-zips" TargetMode="External"/><Relationship Id="rId82" Type="http://schemas.openxmlformats.org/officeDocument/2006/relationships/hyperlink" Target="https://www.teamrankings.com/college-football/team/smu-mustangs" TargetMode="External"/><Relationship Id="rId81" Type="http://schemas.openxmlformats.org/officeDocument/2006/relationships/hyperlink" Target="https://www.teamrankings.com/college-football/team/nevada-wolf-pack" TargetMode="External"/><Relationship Id="rId1" Type="http://schemas.openxmlformats.org/officeDocument/2006/relationships/hyperlink" Target="https://www.teamrankings.com/college-football/team/alabama-crimson-tide" TargetMode="External"/><Relationship Id="rId2" Type="http://schemas.openxmlformats.org/officeDocument/2006/relationships/hyperlink" Target="https://www.teamrankings.com/college-football/team/clemson-tigers" TargetMode="External"/><Relationship Id="rId3" Type="http://schemas.openxmlformats.org/officeDocument/2006/relationships/hyperlink" Target="https://www.teamrankings.com/college-football/team/western-michigan-broncos" TargetMode="External"/><Relationship Id="rId4" Type="http://schemas.openxmlformats.org/officeDocument/2006/relationships/hyperlink" Target="https://www.teamrankings.com/college-football/team/washington-huskies" TargetMode="External"/><Relationship Id="rId9" Type="http://schemas.openxmlformats.org/officeDocument/2006/relationships/hyperlink" Target="https://www.teamrankings.com/college-football/team/penn-state-nittany-lions" TargetMode="External"/><Relationship Id="rId5" Type="http://schemas.openxmlformats.org/officeDocument/2006/relationships/hyperlink" Target="https://www.teamrankings.com/college-football/team/ohio-state-buckeyes" TargetMode="External"/><Relationship Id="rId6" Type="http://schemas.openxmlformats.org/officeDocument/2006/relationships/hyperlink" Target="https://www.teamrankings.com/college-football/team/oklahoma-sooners" TargetMode="External"/><Relationship Id="rId7" Type="http://schemas.openxmlformats.org/officeDocument/2006/relationships/hyperlink" Target="https://www.teamrankings.com/college-football/team/south-florida-bulls" TargetMode="External"/><Relationship Id="rId8" Type="http://schemas.openxmlformats.org/officeDocument/2006/relationships/hyperlink" Target="https://www.teamrankings.com/college-football/team/wisconsin-badgers" TargetMode="External"/><Relationship Id="rId73" Type="http://schemas.openxmlformats.org/officeDocument/2006/relationships/hyperlink" Target="https://www.teamrankings.com/college-football/team/indiana-hoosiers" TargetMode="External"/><Relationship Id="rId72" Type="http://schemas.openxmlformats.org/officeDocument/2006/relationships/hyperlink" Target="https://www.teamrankings.com/college-football/team/mississippi-state-bulldogs" TargetMode="External"/><Relationship Id="rId75" Type="http://schemas.openxmlformats.org/officeDocument/2006/relationships/hyperlink" Target="https://www.teamrankings.com/college-football/team/louisiana-ragin-cajuns" TargetMode="External"/><Relationship Id="rId74" Type="http://schemas.openxmlformats.org/officeDocument/2006/relationships/hyperlink" Target="https://www.teamrankings.com/college-football/team/tcu-horned-frogs" TargetMode="External"/><Relationship Id="rId77" Type="http://schemas.openxmlformats.org/officeDocument/2006/relationships/hyperlink" Target="https://www.teamrankings.com/college-football/team/south-alabama-jaguars" TargetMode="External"/><Relationship Id="rId76" Type="http://schemas.openxmlformats.org/officeDocument/2006/relationships/hyperlink" Target="https://www.teamrankings.com/college-football/team/maryland-terrapins" TargetMode="External"/><Relationship Id="rId79" Type="http://schemas.openxmlformats.org/officeDocument/2006/relationships/hyperlink" Target="https://www.teamrankings.com/college-football/team/northern-illinois-huskies" TargetMode="External"/><Relationship Id="rId78" Type="http://schemas.openxmlformats.org/officeDocument/2006/relationships/hyperlink" Target="https://www.teamrankings.com/college-football/team/utsa-roadrunners" TargetMode="External"/><Relationship Id="rId71" Type="http://schemas.openxmlformats.org/officeDocument/2006/relationships/hyperlink" Target="https://www.teamrankings.com/college-football/team/south-carolina-gamecocks" TargetMode="External"/><Relationship Id="rId70" Type="http://schemas.openxmlformats.org/officeDocument/2006/relationships/hyperlink" Target="https://www.teamrankings.com/college-football/team/vanderbilt-commodores" TargetMode="External"/><Relationship Id="rId132" Type="http://schemas.openxmlformats.org/officeDocument/2006/relationships/hyperlink" Target="https://www.teamrankings.com/college-football/team/missouri-state-bears" TargetMode="External"/><Relationship Id="rId131" Type="http://schemas.openxmlformats.org/officeDocument/2006/relationships/hyperlink" Target="https://www.teamrankings.com/college-football/team/jacksonville-state-gamecocks" TargetMode="External"/><Relationship Id="rId130" Type="http://schemas.openxmlformats.org/officeDocument/2006/relationships/hyperlink" Target="https://www.teamrankings.com/college-football/team/liberty-flames" TargetMode="External"/><Relationship Id="rId136" Type="http://schemas.openxmlformats.org/officeDocument/2006/relationships/drawing" Target="../drawings/drawing10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jacksonville-state-gamecocks" TargetMode="External"/><Relationship Id="rId62" Type="http://schemas.openxmlformats.org/officeDocument/2006/relationships/hyperlink" Target="https://www.teamrankings.com/college-football/team/colorado-state-rams" TargetMode="External"/><Relationship Id="rId61" Type="http://schemas.openxmlformats.org/officeDocument/2006/relationships/hyperlink" Target="https://www.teamrankings.com/college-football/team/southern-miss-golden-eagles" TargetMode="External"/><Relationship Id="rId64" Type="http://schemas.openxmlformats.org/officeDocument/2006/relationships/hyperlink" Target="https://www.teamrankings.com/college-football/team/nc-state-wolfpack" TargetMode="External"/><Relationship Id="rId63" Type="http://schemas.openxmlformats.org/officeDocument/2006/relationships/hyperlink" Target="https://www.teamrankings.com/college-football/team/wake-forest-demon-deacons" TargetMode="External"/><Relationship Id="rId66" Type="http://schemas.openxmlformats.org/officeDocument/2006/relationships/hyperlink" Target="https://www.teamrankings.com/college-football/team/hawaii-rainbow-warriors" TargetMode="External"/><Relationship Id="rId65" Type="http://schemas.openxmlformats.org/officeDocument/2006/relationships/hyperlink" Target="https://www.teamrankings.com/college-football/team/boston-college-eagles" TargetMode="External"/><Relationship Id="rId68" Type="http://schemas.openxmlformats.org/officeDocument/2006/relationships/hyperlink" Target="https://www.teamrankings.com/college-football/team/miami-oh-redhawks" TargetMode="External"/><Relationship Id="rId67" Type="http://schemas.openxmlformats.org/officeDocument/2006/relationships/hyperlink" Target="https://www.teamrankings.com/college-football/team/central-michigan-chippewas" TargetMode="External"/><Relationship Id="rId60" Type="http://schemas.openxmlformats.org/officeDocument/2006/relationships/hyperlink" Target="https://www.teamrankings.com/college-football/team/baylor-bears" TargetMode="External"/><Relationship Id="rId69" Type="http://schemas.openxmlformats.org/officeDocument/2006/relationships/hyperlink" Target="https://www.teamrankings.com/college-football/team/ucf-knights" TargetMode="External"/><Relationship Id="rId51" Type="http://schemas.openxmlformats.org/officeDocument/2006/relationships/hyperlink" Target="https://www.teamrankings.com/college-football/team/washington-state-cougars" TargetMode="External"/><Relationship Id="rId50" Type="http://schemas.openxmlformats.org/officeDocument/2006/relationships/hyperlink" Target="https://www.teamrankings.com/college-football/team/arkansas-state-red-wolves" TargetMode="External"/><Relationship Id="rId53" Type="http://schemas.openxmlformats.org/officeDocument/2006/relationships/hyperlink" Target="https://www.teamrankings.com/college-football/team/pittsburgh-panthers" TargetMode="External"/><Relationship Id="rId52" Type="http://schemas.openxmlformats.org/officeDocument/2006/relationships/hyperlink" Target="https://www.teamrankings.com/college-football/team/north-carolina-tar-heels" TargetMode="External"/><Relationship Id="rId55" Type="http://schemas.openxmlformats.org/officeDocument/2006/relationships/hyperlink" Target="https://www.teamrankings.com/college-football/team/wyoming-cowboys" TargetMode="External"/><Relationship Id="rId54" Type="http://schemas.openxmlformats.org/officeDocument/2006/relationships/hyperlink" Target="https://www.teamrankings.com/college-football/team/ohio-bobcats" TargetMode="External"/><Relationship Id="rId57" Type="http://schemas.openxmlformats.org/officeDocument/2006/relationships/hyperlink" Target="https://www.teamrankings.com/college-football/team/kentucky-wildcats" TargetMode="External"/><Relationship Id="rId56" Type="http://schemas.openxmlformats.org/officeDocument/2006/relationships/hyperlink" Target="https://www.teamrankings.com/college-football/team/eastern-michigan-eagles" TargetMode="External"/><Relationship Id="rId59" Type="http://schemas.openxmlformats.org/officeDocument/2006/relationships/hyperlink" Target="https://www.teamrankings.com/college-football/team/northwestern-wildcats" TargetMode="External"/><Relationship Id="rId58" Type="http://schemas.openxmlformats.org/officeDocument/2006/relationships/hyperlink" Target="https://www.teamrankings.com/college-football/team/arkansas-razorbacks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oregon-ducks" TargetMode="External"/><Relationship Id="rId42" Type="http://schemas.openxmlformats.org/officeDocument/2006/relationships/hyperlink" Target="https://www.teamrankings.com/college-football/team/southern-miss-golden-eagles" TargetMode="External"/><Relationship Id="rId41" Type="http://schemas.openxmlformats.org/officeDocument/2006/relationships/hyperlink" Target="https://www.teamrankings.com/college-football/team/georgia-southern-eagles" TargetMode="External"/><Relationship Id="rId44" Type="http://schemas.openxmlformats.org/officeDocument/2006/relationships/hyperlink" Target="https://www.teamrankings.com/college-football/team/ohio-bobcats" TargetMode="External"/><Relationship Id="rId43" Type="http://schemas.openxmlformats.org/officeDocument/2006/relationships/hyperlink" Target="https://www.teamrankings.com/college-football/team/western-michigan-broncos" TargetMode="External"/><Relationship Id="rId46" Type="http://schemas.openxmlformats.org/officeDocument/2006/relationships/hyperlink" Target="https://www.teamrankings.com/college-football/team/arkansas-razorbacks" TargetMode="External"/><Relationship Id="rId45" Type="http://schemas.openxmlformats.org/officeDocument/2006/relationships/hyperlink" Target="https://www.teamrankings.com/college-football/team/akron-zips" TargetMode="External"/><Relationship Id="rId107" Type="http://schemas.openxmlformats.org/officeDocument/2006/relationships/hyperlink" Target="https://www.teamrankings.com/college-football/team/tulane-green-wave" TargetMode="External"/><Relationship Id="rId106" Type="http://schemas.openxmlformats.org/officeDocument/2006/relationships/hyperlink" Target="https://www.teamrankings.com/college-football/team/iowa-state-cyclones" TargetMode="External"/><Relationship Id="rId105" Type="http://schemas.openxmlformats.org/officeDocument/2006/relationships/hyperlink" Target="https://www.teamrankings.com/college-football/team/south-carolina-gamecocks" TargetMode="External"/><Relationship Id="rId104" Type="http://schemas.openxmlformats.org/officeDocument/2006/relationships/hyperlink" Target="https://www.teamrankings.com/college-football/team/fresno-state-bulldogs" TargetMode="External"/><Relationship Id="rId109" Type="http://schemas.openxmlformats.org/officeDocument/2006/relationships/hyperlink" Target="https://www.teamrankings.com/college-football/team/unlv-rebels" TargetMode="External"/><Relationship Id="rId108" Type="http://schemas.openxmlformats.org/officeDocument/2006/relationships/hyperlink" Target="https://www.teamrankings.com/college-football/team/new-mexico-state-aggies" TargetMode="External"/><Relationship Id="rId48" Type="http://schemas.openxmlformats.org/officeDocument/2006/relationships/hyperlink" Target="https://www.teamrankings.com/college-football/team/south-florida-bulls" TargetMode="External"/><Relationship Id="rId47" Type="http://schemas.openxmlformats.org/officeDocument/2006/relationships/hyperlink" Target="https://www.teamrankings.com/college-football/team/texas-am-aggies" TargetMode="External"/><Relationship Id="rId49" Type="http://schemas.openxmlformats.org/officeDocument/2006/relationships/hyperlink" Target="https://www.teamrankings.com/college-football/team/louisville-cardinals" TargetMode="External"/><Relationship Id="rId103" Type="http://schemas.openxmlformats.org/officeDocument/2006/relationships/hyperlink" Target="https://www.teamrankings.com/college-football/team/kent-state-golden-flashes" TargetMode="External"/><Relationship Id="rId102" Type="http://schemas.openxmlformats.org/officeDocument/2006/relationships/hyperlink" Target="https://www.teamrankings.com/college-football/team/miami-oh-redhawks" TargetMode="External"/><Relationship Id="rId101" Type="http://schemas.openxmlformats.org/officeDocument/2006/relationships/hyperlink" Target="https://www.teamrankings.com/college-football/team/ball-state-cardinals" TargetMode="External"/><Relationship Id="rId100" Type="http://schemas.openxmlformats.org/officeDocument/2006/relationships/hyperlink" Target="https://www.teamrankings.com/college-football/team/colorado-buffaloes" TargetMode="External"/><Relationship Id="rId31" Type="http://schemas.openxmlformats.org/officeDocument/2006/relationships/hyperlink" Target="https://www.teamrankings.com/college-football/team/temple-owls" TargetMode="External"/><Relationship Id="rId30" Type="http://schemas.openxmlformats.org/officeDocument/2006/relationships/hyperlink" Target="https://www.teamrankings.com/college-football/team/florida-gators" TargetMode="External"/><Relationship Id="rId33" Type="http://schemas.openxmlformats.org/officeDocument/2006/relationships/hyperlink" Target="https://www.teamrankings.com/college-football/team/louisiana-tech-bulldogs" TargetMode="External"/><Relationship Id="rId32" Type="http://schemas.openxmlformats.org/officeDocument/2006/relationships/hyperlink" Target="https://www.teamrankings.com/college-football/team/boise-state-broncos" TargetMode="External"/><Relationship Id="rId35" Type="http://schemas.openxmlformats.org/officeDocument/2006/relationships/hyperlink" Target="https://www.teamrankings.com/college-football/team/mississippi-state-bulldogs" TargetMode="External"/><Relationship Id="rId34" Type="http://schemas.openxmlformats.org/officeDocument/2006/relationships/hyperlink" Target="https://www.teamrankings.com/college-football/team/tennessee-volunteers" TargetMode="External"/><Relationship Id="rId37" Type="http://schemas.openxmlformats.org/officeDocument/2006/relationships/hyperlink" Target="https://www.teamrankings.com/college-football/team/arkansas-state-red-wolves" TargetMode="External"/><Relationship Id="rId36" Type="http://schemas.openxmlformats.org/officeDocument/2006/relationships/hyperlink" Target="https://www.teamrankings.com/college-football/team/memphis-tigers" TargetMode="External"/><Relationship Id="rId39" Type="http://schemas.openxmlformats.org/officeDocument/2006/relationships/hyperlink" Target="https://www.teamrankings.com/college-football/team/washington-state-cougars" TargetMode="External"/><Relationship Id="rId38" Type="http://schemas.openxmlformats.org/officeDocument/2006/relationships/hyperlink" Target="https://www.teamrankings.com/college-football/team/byu-cougars" TargetMode="External"/><Relationship Id="rId20" Type="http://schemas.openxmlformats.org/officeDocument/2006/relationships/hyperlink" Target="https://www.teamrankings.com/college-football/team/mississippi-rebels" TargetMode="External"/><Relationship Id="rId22" Type="http://schemas.openxmlformats.org/officeDocument/2006/relationships/hyperlink" Target="https://www.teamrankings.com/college-football/team/northwestern-wildcats" TargetMode="External"/><Relationship Id="rId21" Type="http://schemas.openxmlformats.org/officeDocument/2006/relationships/hyperlink" Target="https://www.teamrankings.com/college-football/team/wisconsin-badgers" TargetMode="External"/><Relationship Id="rId24" Type="http://schemas.openxmlformats.org/officeDocument/2006/relationships/hyperlink" Target="https://www.teamrankings.com/college-football/team/baylor-bears" TargetMode="External"/><Relationship Id="rId23" Type="http://schemas.openxmlformats.org/officeDocument/2006/relationships/hyperlink" Target="https://www.teamrankings.com/college-football/team/michigan-wolverines" TargetMode="External"/><Relationship Id="rId129" Type="http://schemas.openxmlformats.org/officeDocument/2006/relationships/hyperlink" Target="https://www.teamrankings.com/college-football/team/kansas-jayhawks" TargetMode="External"/><Relationship Id="rId128" Type="http://schemas.openxmlformats.org/officeDocument/2006/relationships/hyperlink" Target="https://www.teamrankings.com/college-football/team/ucf-knights" TargetMode="External"/><Relationship Id="rId127" Type="http://schemas.openxmlformats.org/officeDocument/2006/relationships/hyperlink" Target="https://www.teamrankings.com/college-football/team/north-texas-mean-green" TargetMode="External"/><Relationship Id="rId126" Type="http://schemas.openxmlformats.org/officeDocument/2006/relationships/hyperlink" Target="https://www.teamrankings.com/college-football/team/eastern-michigan-eagles" TargetMode="External"/><Relationship Id="rId26" Type="http://schemas.openxmlformats.org/officeDocument/2006/relationships/hyperlink" Target="https://www.teamrankings.com/college-football/team/utah-utes" TargetMode="External"/><Relationship Id="rId121" Type="http://schemas.openxmlformats.org/officeDocument/2006/relationships/hyperlink" Target="https://www.teamrankings.com/college-football/team/army-black-knights" TargetMode="External"/><Relationship Id="rId25" Type="http://schemas.openxmlformats.org/officeDocument/2006/relationships/hyperlink" Target="https://www.teamrankings.com/college-football/team/oklahoma-state-cowboys" TargetMode="External"/><Relationship Id="rId120" Type="http://schemas.openxmlformats.org/officeDocument/2006/relationships/hyperlink" Target="https://www.teamrankings.com/college-football/team/purdue-boilermakers" TargetMode="External"/><Relationship Id="rId28" Type="http://schemas.openxmlformats.org/officeDocument/2006/relationships/hyperlink" Target="https://www.teamrankings.com/college-football/team/louisiana-state-tigers" TargetMode="External"/><Relationship Id="rId27" Type="http://schemas.openxmlformats.org/officeDocument/2006/relationships/hyperlink" Target="https://www.teamrankings.com/college-football/team/florida-state-seminoles" TargetMode="External"/><Relationship Id="rId125" Type="http://schemas.openxmlformats.org/officeDocument/2006/relationships/hyperlink" Target="https://www.teamrankings.com/college-football/team/ul-monroe-warhawks" TargetMode="External"/><Relationship Id="rId29" Type="http://schemas.openxmlformats.org/officeDocument/2006/relationships/hyperlink" Target="https://www.teamrankings.com/college-football/team/bowling-green-falcons" TargetMode="External"/><Relationship Id="rId124" Type="http://schemas.openxmlformats.org/officeDocument/2006/relationships/hyperlink" Target="https://www.teamrankings.com/college-football/team/charlotte-49ers" TargetMode="External"/><Relationship Id="rId123" Type="http://schemas.openxmlformats.org/officeDocument/2006/relationships/hyperlink" Target="https://www.teamrankings.com/college-football/team/oregon-state-beavers" TargetMode="External"/><Relationship Id="rId122" Type="http://schemas.openxmlformats.org/officeDocument/2006/relationships/hyperlink" Target="https://www.teamrankings.com/college-football/team/wyoming-cowboys" TargetMode="External"/><Relationship Id="rId95" Type="http://schemas.openxmlformats.org/officeDocument/2006/relationships/hyperlink" Target="https://www.teamrankings.com/college-football/team/louisiana-ragin-cajuns" TargetMode="External"/><Relationship Id="rId94" Type="http://schemas.openxmlformats.org/officeDocument/2006/relationships/hyperlink" Target="https://www.teamrankings.com/college-football/team/vanderbilt-commodores" TargetMode="External"/><Relationship Id="rId97" Type="http://schemas.openxmlformats.org/officeDocument/2006/relationships/hyperlink" Target="https://www.teamrankings.com/college-football/team/virginia-cavaliers" TargetMode="External"/><Relationship Id="rId96" Type="http://schemas.openxmlformats.org/officeDocument/2006/relationships/hyperlink" Target="https://www.teamrankings.com/college-football/team/troy-trojans" TargetMode="External"/><Relationship Id="rId11" Type="http://schemas.openxmlformats.org/officeDocument/2006/relationships/hyperlink" Target="https://www.teamrankings.com/college-football/team/oklahoma-sooners" TargetMode="External"/><Relationship Id="rId99" Type="http://schemas.openxmlformats.org/officeDocument/2006/relationships/hyperlink" Target="https://www.teamrankings.com/college-football/team/syracuse-orange" TargetMode="External"/><Relationship Id="rId10" Type="http://schemas.openxmlformats.org/officeDocument/2006/relationships/hyperlink" Target="https://www.teamrankings.com/college-football/team/navy-midshipmen" TargetMode="External"/><Relationship Id="rId98" Type="http://schemas.openxmlformats.org/officeDocument/2006/relationships/hyperlink" Target="https://www.teamrankings.com/college-football/team/rutgers-scarlet-knights" TargetMode="External"/><Relationship Id="rId13" Type="http://schemas.openxmlformats.org/officeDocument/2006/relationships/hyperlink" Target="https://www.teamrankings.com/college-football/team/app-state-mountaineers" TargetMode="External"/><Relationship Id="rId12" Type="http://schemas.openxmlformats.org/officeDocument/2006/relationships/hyperlink" Target="https://www.teamrankings.com/college-football/team/tcu-horned-frogs" TargetMode="External"/><Relationship Id="rId91" Type="http://schemas.openxmlformats.org/officeDocument/2006/relationships/hyperlink" Target="https://www.teamrankings.com/college-football/team/florida-international-panthers" TargetMode="External"/><Relationship Id="rId90" Type="http://schemas.openxmlformats.org/officeDocument/2006/relationships/hyperlink" Target="https://www.teamrankings.com/college-football/team/east-carolina-pirates" TargetMode="External"/><Relationship Id="rId93" Type="http://schemas.openxmlformats.org/officeDocument/2006/relationships/hyperlink" Target="https://www.teamrankings.com/college-football/team/old-dominion-monarchs" TargetMode="External"/><Relationship Id="rId92" Type="http://schemas.openxmlformats.org/officeDocument/2006/relationships/hyperlink" Target="https://www.teamrankings.com/college-football/team/south-alabama-jaguars" TargetMode="External"/><Relationship Id="rId118" Type="http://schemas.openxmlformats.org/officeDocument/2006/relationships/hyperlink" Target="https://www.teamrankings.com/college-football/team/hawaii-rainbow-warriors" TargetMode="External"/><Relationship Id="rId117" Type="http://schemas.openxmlformats.org/officeDocument/2006/relationships/hyperlink" Target="https://www.teamrankings.com/college-football/team/utsa-roadrunners" TargetMode="External"/><Relationship Id="rId116" Type="http://schemas.openxmlformats.org/officeDocument/2006/relationships/hyperlink" Target="https://www.teamrankings.com/college-football/team/florida-atlantic-owls" TargetMode="External"/><Relationship Id="rId115" Type="http://schemas.openxmlformats.org/officeDocument/2006/relationships/hyperlink" Target="https://www.teamrankings.com/college-football/team/texas-state-bobcats" TargetMode="External"/><Relationship Id="rId119" Type="http://schemas.openxmlformats.org/officeDocument/2006/relationships/hyperlink" Target="https://www.teamrankings.com/college-football/team/smu-mustangs" TargetMode="External"/><Relationship Id="rId15" Type="http://schemas.openxmlformats.org/officeDocument/2006/relationships/hyperlink" Target="https://www.teamrankings.com/college-football/team/san-diego-state-aztecs" TargetMode="External"/><Relationship Id="rId110" Type="http://schemas.openxmlformats.org/officeDocument/2006/relationships/hyperlink" Target="https://www.teamrankings.com/college-football/team/wake-forest-demon-deacons" TargetMode="External"/><Relationship Id="rId14" Type="http://schemas.openxmlformats.org/officeDocument/2006/relationships/hyperlink" Target="https://www.teamrankings.com/college-football/team/toledo-rockets" TargetMode="External"/><Relationship Id="rId17" Type="http://schemas.openxmlformats.org/officeDocument/2006/relationships/hyperlink" Target="https://www.teamrankings.com/college-football/team/marshall-thundering-herd" TargetMode="External"/><Relationship Id="rId16" Type="http://schemas.openxmlformats.org/officeDocument/2006/relationships/hyperlink" Target="https://www.teamrankings.com/college-football/team/north-carolina-tar-heels" TargetMode="External"/><Relationship Id="rId19" Type="http://schemas.openxmlformats.org/officeDocument/2006/relationships/hyperlink" Target="https://www.teamrankings.com/college-football/team/georgia-bulldogs" TargetMode="External"/><Relationship Id="rId114" Type="http://schemas.openxmlformats.org/officeDocument/2006/relationships/hyperlink" Target="https://www.teamrankings.com/college-football/team/massachusetts-minutemen" TargetMode="External"/><Relationship Id="rId18" Type="http://schemas.openxmlformats.org/officeDocument/2006/relationships/hyperlink" Target="https://www.teamrankings.com/college-football/team/notre-dame-fighting-irish" TargetMode="External"/><Relationship Id="rId113" Type="http://schemas.openxmlformats.org/officeDocument/2006/relationships/hyperlink" Target="https://www.teamrankings.com/college-football/team/boston-college-eagles" TargetMode="External"/><Relationship Id="rId112" Type="http://schemas.openxmlformats.org/officeDocument/2006/relationships/hyperlink" Target="https://www.teamrankings.com/college-football/team/georgia-tech-yellow-jackets" TargetMode="External"/><Relationship Id="rId111" Type="http://schemas.openxmlformats.org/officeDocument/2006/relationships/hyperlink" Target="https://www.teamrankings.com/college-football/team/maryland-terrapins" TargetMode="External"/><Relationship Id="rId84" Type="http://schemas.openxmlformats.org/officeDocument/2006/relationships/hyperlink" Target="https://www.teamrankings.com/college-football/team/rice-owls" TargetMode="External"/><Relationship Id="rId83" Type="http://schemas.openxmlformats.org/officeDocument/2006/relationships/hyperlink" Target="https://www.teamrankings.com/college-football/team/buffalo-bulls" TargetMode="External"/><Relationship Id="rId86" Type="http://schemas.openxmlformats.org/officeDocument/2006/relationships/hyperlink" Target="https://www.teamrankings.com/college-football/team/kentucky-wildcats" TargetMode="External"/><Relationship Id="rId85" Type="http://schemas.openxmlformats.org/officeDocument/2006/relationships/hyperlink" Target="https://www.teamrankings.com/college-football/team/utep-miners" TargetMode="External"/><Relationship Id="rId88" Type="http://schemas.openxmlformats.org/officeDocument/2006/relationships/hyperlink" Target="https://www.teamrankings.com/college-football/team/missouri-tigers" TargetMode="External"/><Relationship Id="rId87" Type="http://schemas.openxmlformats.org/officeDocument/2006/relationships/hyperlink" Target="https://www.teamrankings.com/college-football/team/illinois-fighting-illini" TargetMode="External"/><Relationship Id="rId89" Type="http://schemas.openxmlformats.org/officeDocument/2006/relationships/hyperlink" Target="https://www.teamrankings.com/college-football/team/texas-longhorns" TargetMode="External"/><Relationship Id="rId80" Type="http://schemas.openxmlformats.org/officeDocument/2006/relationships/hyperlink" Target="https://www.teamrankings.com/college-football/team/arizona-state-sun-devils" TargetMode="External"/><Relationship Id="rId82" Type="http://schemas.openxmlformats.org/officeDocument/2006/relationships/hyperlink" Target="https://www.teamrankings.com/college-football/team/georgia-state-panthers" TargetMode="External"/><Relationship Id="rId81" Type="http://schemas.openxmlformats.org/officeDocument/2006/relationships/hyperlink" Target="https://www.teamrankings.com/college-football/team/connecticut-huskies" TargetMode="External"/><Relationship Id="rId1" Type="http://schemas.openxmlformats.org/officeDocument/2006/relationships/hyperlink" Target="https://www.teamrankings.com/college-football/team/james-madison-dukes" TargetMode="External"/><Relationship Id="rId2" Type="http://schemas.openxmlformats.org/officeDocument/2006/relationships/hyperlink" Target="https://www.teamrankings.com/college-football/team/alabama-crimson-tide" TargetMode="External"/><Relationship Id="rId3" Type="http://schemas.openxmlformats.org/officeDocument/2006/relationships/hyperlink" Target="https://www.teamrankings.com/college-football/team/clemson-tigers" TargetMode="External"/><Relationship Id="rId4" Type="http://schemas.openxmlformats.org/officeDocument/2006/relationships/hyperlink" Target="https://www.teamrankings.com/college-football/team/houston-cougars" TargetMode="External"/><Relationship Id="rId9" Type="http://schemas.openxmlformats.org/officeDocument/2006/relationships/hyperlink" Target="https://www.teamrankings.com/college-football/team/western-kentucky-hilltoppers" TargetMode="External"/><Relationship Id="rId5" Type="http://schemas.openxmlformats.org/officeDocument/2006/relationships/hyperlink" Target="https://www.teamrankings.com/college-football/team/ohio-state-buckeyes" TargetMode="External"/><Relationship Id="rId6" Type="http://schemas.openxmlformats.org/officeDocument/2006/relationships/hyperlink" Target="https://www.teamrankings.com/college-football/team/michigan-state-spartans" TargetMode="External"/><Relationship Id="rId7" Type="http://schemas.openxmlformats.org/officeDocument/2006/relationships/hyperlink" Target="https://www.teamrankings.com/college-football/team/iowa-hawkeyes" TargetMode="External"/><Relationship Id="rId8" Type="http://schemas.openxmlformats.org/officeDocument/2006/relationships/hyperlink" Target="https://www.teamrankings.com/college-football/team/stanford-cardinal" TargetMode="External"/><Relationship Id="rId73" Type="http://schemas.openxmlformats.org/officeDocument/2006/relationships/hyperlink" Target="https://www.teamrankings.com/college-football/team/san-jose-state-spartans" TargetMode="External"/><Relationship Id="rId72" Type="http://schemas.openxmlformats.org/officeDocument/2006/relationships/hyperlink" Target="https://www.teamrankings.com/college-football/team/liberty-flames" TargetMode="External"/><Relationship Id="rId75" Type="http://schemas.openxmlformats.org/officeDocument/2006/relationships/hyperlink" Target="https://www.teamrankings.com/college-football/team/indiana-hoosiers" TargetMode="External"/><Relationship Id="rId74" Type="http://schemas.openxmlformats.org/officeDocument/2006/relationships/hyperlink" Target="https://www.teamrankings.com/college-football/team/tulsa-golden-hurricane" TargetMode="External"/><Relationship Id="rId77" Type="http://schemas.openxmlformats.org/officeDocument/2006/relationships/hyperlink" Target="https://www.teamrankings.com/college-football/team/kansas-state-wildcats" TargetMode="External"/><Relationship Id="rId76" Type="http://schemas.openxmlformats.org/officeDocument/2006/relationships/hyperlink" Target="https://www.teamrankings.com/college-football/team/minnesota-golden-gophers" TargetMode="External"/><Relationship Id="rId79" Type="http://schemas.openxmlformats.org/officeDocument/2006/relationships/hyperlink" Target="https://www.teamrankings.com/college-football/team/utah-state-aggies" TargetMode="External"/><Relationship Id="rId78" Type="http://schemas.openxmlformats.org/officeDocument/2006/relationships/hyperlink" Target="https://www.teamrankings.com/college-football/team/nebraska-cornhuskers" TargetMode="External"/><Relationship Id="rId71" Type="http://schemas.openxmlformats.org/officeDocument/2006/relationships/hyperlink" Target="https://www.teamrankings.com/college-football/team/virginia-tech-hokies" TargetMode="External"/><Relationship Id="rId70" Type="http://schemas.openxmlformats.org/officeDocument/2006/relationships/hyperlink" Target="https://www.teamrankings.com/college-football/team/nc-state-wolfpack" TargetMode="External"/><Relationship Id="rId132" Type="http://schemas.openxmlformats.org/officeDocument/2006/relationships/hyperlink" Target="https://www.teamrankings.com/college-football/team/jacksonville-state-gamecocks" TargetMode="External"/><Relationship Id="rId131" Type="http://schemas.openxmlformats.org/officeDocument/2006/relationships/hyperlink" Target="https://www.teamrankings.com/college-football/team/sam-houston-bearkats" TargetMode="External"/><Relationship Id="rId130" Type="http://schemas.openxmlformats.org/officeDocument/2006/relationships/hyperlink" Target="https://www.teamrankings.com/college-football/team/delaware-fightin-blue-hens" TargetMode="External"/><Relationship Id="rId136" Type="http://schemas.openxmlformats.org/officeDocument/2006/relationships/drawing" Target="../drawings/drawing11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penn-state-nittany-lions" TargetMode="External"/><Relationship Id="rId61" Type="http://schemas.openxmlformats.org/officeDocument/2006/relationships/hyperlink" Target="https://www.teamrankings.com/college-football/team/auburn-tigers" TargetMode="External"/><Relationship Id="rId64" Type="http://schemas.openxmlformats.org/officeDocument/2006/relationships/hyperlink" Target="https://www.teamrankings.com/college-football/team/cincinnati-bearcats" TargetMode="External"/><Relationship Id="rId63" Type="http://schemas.openxmlformats.org/officeDocument/2006/relationships/hyperlink" Target="https://www.teamrankings.com/college-football/team/texas-tech-red-raiders" TargetMode="External"/><Relationship Id="rId66" Type="http://schemas.openxmlformats.org/officeDocument/2006/relationships/hyperlink" Target="https://www.teamrankings.com/college-football/team/new-mexico-lobos" TargetMode="External"/><Relationship Id="rId65" Type="http://schemas.openxmlformats.org/officeDocument/2006/relationships/hyperlink" Target="https://www.teamrankings.com/college-football/team/middle-tennessee-blue-raiders" TargetMode="External"/><Relationship Id="rId68" Type="http://schemas.openxmlformats.org/officeDocument/2006/relationships/hyperlink" Target="https://www.teamrankings.com/college-football/team/washington-huskies" TargetMode="External"/><Relationship Id="rId67" Type="http://schemas.openxmlformats.org/officeDocument/2006/relationships/hyperlink" Target="https://www.teamrankings.com/college-football/team/colorado-state-rams" TargetMode="External"/><Relationship Id="rId60" Type="http://schemas.openxmlformats.org/officeDocument/2006/relationships/hyperlink" Target="https://www.teamrankings.com/college-football/team/nevada-wolf-pack" TargetMode="External"/><Relationship Id="rId69" Type="http://schemas.openxmlformats.org/officeDocument/2006/relationships/hyperlink" Target="https://www.teamrankings.com/college-football/team/arizona-wildcats" TargetMode="External"/><Relationship Id="rId51" Type="http://schemas.openxmlformats.org/officeDocument/2006/relationships/hyperlink" Target="https://www.teamrankings.com/college-football/team/ucla-bruins" TargetMode="External"/><Relationship Id="rId50" Type="http://schemas.openxmlformats.org/officeDocument/2006/relationships/hyperlink" Target="https://www.teamrankings.com/college-football/team/california-golden-bears" TargetMode="External"/><Relationship Id="rId53" Type="http://schemas.openxmlformats.org/officeDocument/2006/relationships/hyperlink" Target="https://www.teamrankings.com/college-football/team/duke-blue-devils" TargetMode="External"/><Relationship Id="rId52" Type="http://schemas.openxmlformats.org/officeDocument/2006/relationships/hyperlink" Target="https://www.teamrankings.com/college-football/team/miami-hurricanes" TargetMode="External"/><Relationship Id="rId55" Type="http://schemas.openxmlformats.org/officeDocument/2006/relationships/hyperlink" Target="https://www.teamrankings.com/college-football/team/west-virginia-mountaineers" TargetMode="External"/><Relationship Id="rId54" Type="http://schemas.openxmlformats.org/officeDocument/2006/relationships/hyperlink" Target="https://www.teamrankings.com/college-football/team/pittsburgh-panthers" TargetMode="External"/><Relationship Id="rId57" Type="http://schemas.openxmlformats.org/officeDocument/2006/relationships/hyperlink" Target="https://www.teamrankings.com/college-football/team/air-force-falcons" TargetMode="External"/><Relationship Id="rId56" Type="http://schemas.openxmlformats.org/officeDocument/2006/relationships/hyperlink" Target="https://www.teamrankings.com/college-football/team/northern-illinois-huskies" TargetMode="External"/><Relationship Id="rId59" Type="http://schemas.openxmlformats.org/officeDocument/2006/relationships/hyperlink" Target="https://www.teamrankings.com/college-football/team/central-michigan-chippewas" TargetMode="External"/><Relationship Id="rId58" Type="http://schemas.openxmlformats.org/officeDocument/2006/relationships/hyperlink" Target="https://www.teamrankings.com/college-football/team/usc-trojans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notre-dame-fighting-irish" TargetMode="External"/><Relationship Id="rId42" Type="http://schemas.openxmlformats.org/officeDocument/2006/relationships/hyperlink" Target="https://www.teamrankings.com/college-football/team/auburn-tigers" TargetMode="External"/><Relationship Id="rId41" Type="http://schemas.openxmlformats.org/officeDocument/2006/relationships/hyperlink" Target="https://www.teamrankings.com/college-football/team/louisiana-state-tigers" TargetMode="External"/><Relationship Id="rId44" Type="http://schemas.openxmlformats.org/officeDocument/2006/relationships/hyperlink" Target="https://www.teamrankings.com/college-football/team/texas-am-aggies" TargetMode="External"/><Relationship Id="rId43" Type="http://schemas.openxmlformats.org/officeDocument/2006/relationships/hyperlink" Target="https://www.teamrankings.com/college-football/team/minnesota-golden-gophers" TargetMode="External"/><Relationship Id="rId46" Type="http://schemas.openxmlformats.org/officeDocument/2006/relationships/hyperlink" Target="https://www.teamrankings.com/college-football/team/east-carolina-pirates" TargetMode="External"/><Relationship Id="rId45" Type="http://schemas.openxmlformats.org/officeDocument/2006/relationships/hyperlink" Target="https://www.teamrankings.com/college-football/team/oklahoma-sooners" TargetMode="External"/><Relationship Id="rId107" Type="http://schemas.openxmlformats.org/officeDocument/2006/relationships/hyperlink" Target="https://www.teamrankings.com/college-football/team/vanderbilt-commodores" TargetMode="External"/><Relationship Id="rId106" Type="http://schemas.openxmlformats.org/officeDocument/2006/relationships/hyperlink" Target="https://www.teamrankings.com/college-football/team/san-jose-state-spartans" TargetMode="External"/><Relationship Id="rId105" Type="http://schemas.openxmlformats.org/officeDocument/2006/relationships/hyperlink" Target="https://www.teamrankings.com/college-football/team/hawaii-rainbow-warriors" TargetMode="External"/><Relationship Id="rId104" Type="http://schemas.openxmlformats.org/officeDocument/2006/relationships/hyperlink" Target="https://www.teamrankings.com/college-football/team/utsa-roadrunners" TargetMode="External"/><Relationship Id="rId109" Type="http://schemas.openxmlformats.org/officeDocument/2006/relationships/hyperlink" Target="https://www.teamrankings.com/college-football/team/kansas-jayhawks" TargetMode="External"/><Relationship Id="rId108" Type="http://schemas.openxmlformats.org/officeDocument/2006/relationships/hyperlink" Target="https://www.teamrankings.com/college-football/team/purdue-boilermakers" TargetMode="External"/><Relationship Id="rId48" Type="http://schemas.openxmlformats.org/officeDocument/2006/relationships/hyperlink" Target="https://www.teamrankings.com/college-football/team/byu-cougars" TargetMode="External"/><Relationship Id="rId47" Type="http://schemas.openxmlformats.org/officeDocument/2006/relationships/hyperlink" Target="https://www.teamrankings.com/college-football/team/houston-cougars" TargetMode="External"/><Relationship Id="rId49" Type="http://schemas.openxmlformats.org/officeDocument/2006/relationships/hyperlink" Target="https://www.teamrankings.com/college-football/team/stanford-cardinal" TargetMode="External"/><Relationship Id="rId103" Type="http://schemas.openxmlformats.org/officeDocument/2006/relationships/hyperlink" Target="https://www.teamrankings.com/college-football/team/florida-international-panthers" TargetMode="External"/><Relationship Id="rId102" Type="http://schemas.openxmlformats.org/officeDocument/2006/relationships/hyperlink" Target="https://www.teamrankings.com/college-football/team/wyoming-cowboys" TargetMode="External"/><Relationship Id="rId101" Type="http://schemas.openxmlformats.org/officeDocument/2006/relationships/hyperlink" Target="https://www.teamrankings.com/college-football/team/new-mexico-lobos" TargetMode="External"/><Relationship Id="rId100" Type="http://schemas.openxmlformats.org/officeDocument/2006/relationships/hyperlink" Target="https://www.teamrankings.com/college-football/team/north-texas-mean-green" TargetMode="External"/><Relationship Id="rId31" Type="http://schemas.openxmlformats.org/officeDocument/2006/relationships/hyperlink" Target="https://www.teamrankings.com/college-football/team/louisville-cardinals" TargetMode="External"/><Relationship Id="rId30" Type="http://schemas.openxmlformats.org/officeDocument/2006/relationships/hyperlink" Target="https://www.teamrankings.com/college-football/team/cincinnati-bearcats" TargetMode="External"/><Relationship Id="rId33" Type="http://schemas.openxmlformats.org/officeDocument/2006/relationships/hyperlink" Target="https://www.teamrankings.com/college-football/team/utah-utes" TargetMode="External"/><Relationship Id="rId32" Type="http://schemas.openxmlformats.org/officeDocument/2006/relationships/hyperlink" Target="https://www.teamrankings.com/college-football/team/louisiana-ragin-cajuns" TargetMode="External"/><Relationship Id="rId35" Type="http://schemas.openxmlformats.org/officeDocument/2006/relationships/hyperlink" Target="https://www.teamrankings.com/college-football/team/duke-blue-devils" TargetMode="External"/><Relationship Id="rId34" Type="http://schemas.openxmlformats.org/officeDocument/2006/relationships/hyperlink" Target="https://www.teamrankings.com/college-football/team/usc-trojans" TargetMode="External"/><Relationship Id="rId37" Type="http://schemas.openxmlformats.org/officeDocument/2006/relationships/hyperlink" Target="https://www.teamrankings.com/college-football/team/western-michigan-broncos" TargetMode="External"/><Relationship Id="rId36" Type="http://schemas.openxmlformats.org/officeDocument/2006/relationships/hyperlink" Target="https://www.teamrankings.com/college-football/team/louisiana-tech-bulldogs" TargetMode="External"/><Relationship Id="rId39" Type="http://schemas.openxmlformats.org/officeDocument/2006/relationships/hyperlink" Target="https://www.teamrankings.com/college-football/team/navy-midshipmen" TargetMode="External"/><Relationship Id="rId38" Type="http://schemas.openxmlformats.org/officeDocument/2006/relationships/hyperlink" Target="https://www.teamrankings.com/college-football/team/rice-owls" TargetMode="External"/><Relationship Id="rId20" Type="http://schemas.openxmlformats.org/officeDocument/2006/relationships/hyperlink" Target="https://www.teamrankings.com/college-football/team/ucla-bruins" TargetMode="External"/><Relationship Id="rId22" Type="http://schemas.openxmlformats.org/officeDocument/2006/relationships/hyperlink" Target="https://www.teamrankings.com/college-football/team/georgia-southern-eagles" TargetMode="External"/><Relationship Id="rId21" Type="http://schemas.openxmlformats.org/officeDocument/2006/relationships/hyperlink" Target="https://www.teamrankings.com/college-football/team/clemson-tigers" TargetMode="External"/><Relationship Id="rId24" Type="http://schemas.openxmlformats.org/officeDocument/2006/relationships/hyperlink" Target="https://www.teamrankings.com/college-football/team/arizona-wildcats" TargetMode="External"/><Relationship Id="rId23" Type="http://schemas.openxmlformats.org/officeDocument/2006/relationships/hyperlink" Target="https://www.teamrankings.com/college-football/team/utah-state-aggies" TargetMode="External"/><Relationship Id="rId129" Type="http://schemas.openxmlformats.org/officeDocument/2006/relationships/hyperlink" Target="https://www.teamrankings.com/college-football/team/delaware-fightin-blue-hens" TargetMode="External"/><Relationship Id="rId128" Type="http://schemas.openxmlformats.org/officeDocument/2006/relationships/hyperlink" Target="https://www.teamrankings.com/college-football/team/georgia-state-panthers" TargetMode="External"/><Relationship Id="rId127" Type="http://schemas.openxmlformats.org/officeDocument/2006/relationships/hyperlink" Target="https://www.teamrankings.com/college-football/team/smu-mustangs" TargetMode="External"/><Relationship Id="rId126" Type="http://schemas.openxmlformats.org/officeDocument/2006/relationships/hyperlink" Target="https://www.teamrankings.com/college-football/team/unlv-rebels" TargetMode="External"/><Relationship Id="rId26" Type="http://schemas.openxmlformats.org/officeDocument/2006/relationships/hyperlink" Target="https://www.teamrankings.com/college-football/team/ucf-knights" TargetMode="External"/><Relationship Id="rId121" Type="http://schemas.openxmlformats.org/officeDocument/2006/relationships/hyperlink" Target="https://www.teamrankings.com/college-football/team/tulsa-golden-hurricane" TargetMode="External"/><Relationship Id="rId25" Type="http://schemas.openxmlformats.org/officeDocument/2006/relationships/hyperlink" Target="https://www.teamrankings.com/college-football/team/toledo-rockets" TargetMode="External"/><Relationship Id="rId120" Type="http://schemas.openxmlformats.org/officeDocument/2006/relationships/hyperlink" Target="https://www.teamrankings.com/college-football/team/miami-oh-redhawks" TargetMode="External"/><Relationship Id="rId28" Type="http://schemas.openxmlformats.org/officeDocument/2006/relationships/hyperlink" Target="https://www.teamrankings.com/college-football/team/kansas-state-wildcats" TargetMode="External"/><Relationship Id="rId27" Type="http://schemas.openxmlformats.org/officeDocument/2006/relationships/hyperlink" Target="https://www.teamrankings.com/college-football/team/mississippi-rebels" TargetMode="External"/><Relationship Id="rId125" Type="http://schemas.openxmlformats.org/officeDocument/2006/relationships/hyperlink" Target="https://www.teamrankings.com/college-football/team/connecticut-huskies" TargetMode="External"/><Relationship Id="rId29" Type="http://schemas.openxmlformats.org/officeDocument/2006/relationships/hyperlink" Target="https://www.teamrankings.com/college-football/team/nebraska-cornhuskers" TargetMode="External"/><Relationship Id="rId124" Type="http://schemas.openxmlformats.org/officeDocument/2006/relationships/hyperlink" Target="https://www.teamrankings.com/college-football/team/new-mexico-state-aggies" TargetMode="External"/><Relationship Id="rId123" Type="http://schemas.openxmlformats.org/officeDocument/2006/relationships/hyperlink" Target="https://www.teamrankings.com/college-football/team/colorado-buffaloes" TargetMode="External"/><Relationship Id="rId122" Type="http://schemas.openxmlformats.org/officeDocument/2006/relationships/hyperlink" Target="https://www.teamrankings.com/college-football/team/iowa-state-cyclones" TargetMode="External"/><Relationship Id="rId95" Type="http://schemas.openxmlformats.org/officeDocument/2006/relationships/hyperlink" Target="https://www.teamrankings.com/college-football/team/indiana-hoosiers" TargetMode="External"/><Relationship Id="rId94" Type="http://schemas.openxmlformats.org/officeDocument/2006/relationships/hyperlink" Target="https://www.teamrankings.com/college-football/team/virginia-cavaliers" TargetMode="External"/><Relationship Id="rId97" Type="http://schemas.openxmlformats.org/officeDocument/2006/relationships/hyperlink" Target="https://www.teamrankings.com/college-football/team/army-black-knights" TargetMode="External"/><Relationship Id="rId96" Type="http://schemas.openxmlformats.org/officeDocument/2006/relationships/hyperlink" Target="https://www.teamrankings.com/college-football/team/texas-tech-red-raiders" TargetMode="External"/><Relationship Id="rId11" Type="http://schemas.openxmlformats.org/officeDocument/2006/relationships/hyperlink" Target="https://www.teamrankings.com/college-football/team/wisconsin-badgers" TargetMode="External"/><Relationship Id="rId99" Type="http://schemas.openxmlformats.org/officeDocument/2006/relationships/hyperlink" Target="https://www.teamrankings.com/college-football/team/ul-monroe-warhawks" TargetMode="External"/><Relationship Id="rId10" Type="http://schemas.openxmlformats.org/officeDocument/2006/relationships/hyperlink" Target="https://www.teamrankings.com/college-football/team/northern-illinois-huskies" TargetMode="External"/><Relationship Id="rId98" Type="http://schemas.openxmlformats.org/officeDocument/2006/relationships/hyperlink" Target="https://www.teamrankings.com/college-football/team/south-florida-bulls" TargetMode="External"/><Relationship Id="rId13" Type="http://schemas.openxmlformats.org/officeDocument/2006/relationships/hyperlink" Target="https://www.teamrankings.com/college-football/team/georgia-tech-yellow-jackets" TargetMode="External"/><Relationship Id="rId12" Type="http://schemas.openxmlformats.org/officeDocument/2006/relationships/hyperlink" Target="https://www.teamrankings.com/college-football/team/missouri-tigers" TargetMode="External"/><Relationship Id="rId91" Type="http://schemas.openxmlformats.org/officeDocument/2006/relationships/hyperlink" Target="https://www.teamrankings.com/college-football/team/michigan-wolverines" TargetMode="External"/><Relationship Id="rId90" Type="http://schemas.openxmlformats.org/officeDocument/2006/relationships/hyperlink" Target="https://www.teamrankings.com/college-football/team/northwestern-wildcats" TargetMode="External"/><Relationship Id="rId93" Type="http://schemas.openxmlformats.org/officeDocument/2006/relationships/hyperlink" Target="https://www.teamrankings.com/college-football/team/oregon-state-beavers" TargetMode="External"/><Relationship Id="rId92" Type="http://schemas.openxmlformats.org/officeDocument/2006/relationships/hyperlink" Target="https://www.teamrankings.com/college-football/team/california-golden-bears" TargetMode="External"/><Relationship Id="rId118" Type="http://schemas.openxmlformats.org/officeDocument/2006/relationships/hyperlink" Target="https://www.teamrankings.com/college-football/team/kent-state-golden-flashes" TargetMode="External"/><Relationship Id="rId117" Type="http://schemas.openxmlformats.org/officeDocument/2006/relationships/hyperlink" Target="https://www.teamrankings.com/college-football/team/florida-atlantic-owls" TargetMode="External"/><Relationship Id="rId116" Type="http://schemas.openxmlformats.org/officeDocument/2006/relationships/hyperlink" Target="https://www.teamrankings.com/college-football/team/massachusetts-minutemen" TargetMode="External"/><Relationship Id="rId115" Type="http://schemas.openxmlformats.org/officeDocument/2006/relationships/hyperlink" Target="https://www.teamrankings.com/college-football/team/syracuse-orange" TargetMode="External"/><Relationship Id="rId119" Type="http://schemas.openxmlformats.org/officeDocument/2006/relationships/hyperlink" Target="https://www.teamrankings.com/college-football/team/eastern-michigan-eagles" TargetMode="External"/><Relationship Id="rId15" Type="http://schemas.openxmlformats.org/officeDocument/2006/relationships/hyperlink" Target="https://www.teamrankings.com/college-football/team/mississippi-state-bulldogs" TargetMode="External"/><Relationship Id="rId110" Type="http://schemas.openxmlformats.org/officeDocument/2006/relationships/hyperlink" Target="https://www.teamrankings.com/college-football/team/southern-miss-golden-eagles" TargetMode="External"/><Relationship Id="rId14" Type="http://schemas.openxmlformats.org/officeDocument/2006/relationships/hyperlink" Target="https://www.teamrankings.com/college-football/team/georgia-bulldogs" TargetMode="External"/><Relationship Id="rId17" Type="http://schemas.openxmlformats.org/officeDocument/2006/relationships/hyperlink" Target="https://www.teamrankings.com/college-football/team/air-force-falcons" TargetMode="External"/><Relationship Id="rId16" Type="http://schemas.openxmlformats.org/officeDocument/2006/relationships/hyperlink" Target="https://www.teamrankings.com/college-football/team/memphis-tigers" TargetMode="External"/><Relationship Id="rId19" Type="http://schemas.openxmlformats.org/officeDocument/2006/relationships/hyperlink" Target="https://www.teamrankings.com/college-football/team/arizona-state-sun-devils" TargetMode="External"/><Relationship Id="rId114" Type="http://schemas.openxmlformats.org/officeDocument/2006/relationships/hyperlink" Target="https://www.teamrankings.com/college-football/team/wake-forest-demon-deacons" TargetMode="External"/><Relationship Id="rId18" Type="http://schemas.openxmlformats.org/officeDocument/2006/relationships/hyperlink" Target="https://www.teamrankings.com/college-football/team/colorado-state-rams" TargetMode="External"/><Relationship Id="rId113" Type="http://schemas.openxmlformats.org/officeDocument/2006/relationships/hyperlink" Target="https://www.teamrankings.com/college-football/team/washington-state-cougars" TargetMode="External"/><Relationship Id="rId112" Type="http://schemas.openxmlformats.org/officeDocument/2006/relationships/hyperlink" Target="https://www.teamrankings.com/college-football/team/troy-trojans" TargetMode="External"/><Relationship Id="rId111" Type="http://schemas.openxmlformats.org/officeDocument/2006/relationships/hyperlink" Target="https://www.teamrankings.com/college-football/team/tulane-green-wave" TargetMode="External"/><Relationship Id="rId84" Type="http://schemas.openxmlformats.org/officeDocument/2006/relationships/hyperlink" Target="https://www.teamrankings.com/college-football/team/south-alabama-jaguars" TargetMode="External"/><Relationship Id="rId83" Type="http://schemas.openxmlformats.org/officeDocument/2006/relationships/hyperlink" Target="https://www.teamrankings.com/college-football/team/pittsburgh-panthers" TargetMode="External"/><Relationship Id="rId86" Type="http://schemas.openxmlformats.org/officeDocument/2006/relationships/hyperlink" Target="https://www.teamrankings.com/college-football/team/fresno-state-bulldogs" TargetMode="External"/><Relationship Id="rId85" Type="http://schemas.openxmlformats.org/officeDocument/2006/relationships/hyperlink" Target="https://www.teamrankings.com/college-football/team/buffalo-bulls" TargetMode="External"/><Relationship Id="rId88" Type="http://schemas.openxmlformats.org/officeDocument/2006/relationships/hyperlink" Target="https://www.teamrankings.com/college-football/team/akron-zips" TargetMode="External"/><Relationship Id="rId87" Type="http://schemas.openxmlformats.org/officeDocument/2006/relationships/hyperlink" Target="https://www.teamrankings.com/college-football/team/ball-state-cardinals" TargetMode="External"/><Relationship Id="rId89" Type="http://schemas.openxmlformats.org/officeDocument/2006/relationships/hyperlink" Target="https://www.teamrankings.com/college-football/team/kentucky-wildcats" TargetMode="External"/><Relationship Id="rId80" Type="http://schemas.openxmlformats.org/officeDocument/2006/relationships/hyperlink" Target="https://www.teamrankings.com/college-football/team/texas-longhorns" TargetMode="External"/><Relationship Id="rId82" Type="http://schemas.openxmlformats.org/officeDocument/2006/relationships/hyperlink" Target="https://www.teamrankings.com/college-football/team/north-carolina-tar-heels" TargetMode="External"/><Relationship Id="rId81" Type="http://schemas.openxmlformats.org/officeDocument/2006/relationships/hyperlink" Target="https://www.teamrankings.com/college-football/team/miami-hurricanes" TargetMode="External"/><Relationship Id="rId1" Type="http://schemas.openxmlformats.org/officeDocument/2006/relationships/hyperlink" Target="https://www.teamrankings.com/college-football/team/ohio-state-buckeyes" TargetMode="External"/><Relationship Id="rId2" Type="http://schemas.openxmlformats.org/officeDocument/2006/relationships/hyperlink" Target="https://www.teamrankings.com/college-football/team/marshall-thundering-herd" TargetMode="External"/><Relationship Id="rId3" Type="http://schemas.openxmlformats.org/officeDocument/2006/relationships/hyperlink" Target="https://www.teamrankings.com/college-football/team/florida-state-seminoles" TargetMode="External"/><Relationship Id="rId4" Type="http://schemas.openxmlformats.org/officeDocument/2006/relationships/hyperlink" Target="https://www.teamrankings.com/college-football/team/tcu-horned-frogs" TargetMode="External"/><Relationship Id="rId9" Type="http://schemas.openxmlformats.org/officeDocument/2006/relationships/hyperlink" Target="https://www.teamrankings.com/college-football/team/baylor-bears" TargetMode="External"/><Relationship Id="rId5" Type="http://schemas.openxmlformats.org/officeDocument/2006/relationships/hyperlink" Target="https://www.teamrankings.com/college-football/team/oregon-ducks" TargetMode="External"/><Relationship Id="rId6" Type="http://schemas.openxmlformats.org/officeDocument/2006/relationships/hyperlink" Target="https://www.teamrankings.com/college-football/team/boise-state-broncos" TargetMode="External"/><Relationship Id="rId7" Type="http://schemas.openxmlformats.org/officeDocument/2006/relationships/hyperlink" Target="https://www.teamrankings.com/college-football/team/alabama-crimson-tide" TargetMode="External"/><Relationship Id="rId8" Type="http://schemas.openxmlformats.org/officeDocument/2006/relationships/hyperlink" Target="https://www.teamrankings.com/college-football/team/michigan-state-spartans" TargetMode="External"/><Relationship Id="rId73" Type="http://schemas.openxmlformats.org/officeDocument/2006/relationships/hyperlink" Target="https://www.teamrankings.com/college-football/team/ohio-bobcats" TargetMode="External"/><Relationship Id="rId72" Type="http://schemas.openxmlformats.org/officeDocument/2006/relationships/hyperlink" Target="https://www.teamrankings.com/college-football/team/west-virginia-mountaineers" TargetMode="External"/><Relationship Id="rId75" Type="http://schemas.openxmlformats.org/officeDocument/2006/relationships/hyperlink" Target="https://www.teamrankings.com/college-football/team/middle-tennessee-blue-raiders" TargetMode="External"/><Relationship Id="rId74" Type="http://schemas.openxmlformats.org/officeDocument/2006/relationships/hyperlink" Target="https://www.teamrankings.com/college-football/team/uab-blazers" TargetMode="External"/><Relationship Id="rId77" Type="http://schemas.openxmlformats.org/officeDocument/2006/relationships/hyperlink" Target="https://www.teamrankings.com/college-football/team/liberty-flames" TargetMode="External"/><Relationship Id="rId76" Type="http://schemas.openxmlformats.org/officeDocument/2006/relationships/hyperlink" Target="https://www.teamrankings.com/college-football/team/temple-owls" TargetMode="External"/><Relationship Id="rId79" Type="http://schemas.openxmlformats.org/officeDocument/2006/relationships/hyperlink" Target="https://www.teamrankings.com/college-football/team/illinois-fighting-illini" TargetMode="External"/><Relationship Id="rId78" Type="http://schemas.openxmlformats.org/officeDocument/2006/relationships/hyperlink" Target="https://www.teamrankings.com/college-football/team/old-dominion-monarchs" TargetMode="External"/><Relationship Id="rId71" Type="http://schemas.openxmlformats.org/officeDocument/2006/relationships/hyperlink" Target="https://www.teamrankings.com/college-football/team/boston-college-eagles" TargetMode="External"/><Relationship Id="rId70" Type="http://schemas.openxmlformats.org/officeDocument/2006/relationships/hyperlink" Target="https://www.teamrankings.com/college-football/team/virginia-tech-hokies" TargetMode="External"/><Relationship Id="rId132" Type="http://schemas.openxmlformats.org/officeDocument/2006/relationships/hyperlink" Target="https://www.teamrankings.com/college-football/team/jacksonville-state-gamecocks" TargetMode="External"/><Relationship Id="rId131" Type="http://schemas.openxmlformats.org/officeDocument/2006/relationships/hyperlink" Target="https://www.teamrankings.com/college-football/team/sam-houston-bearkats" TargetMode="External"/><Relationship Id="rId130" Type="http://schemas.openxmlformats.org/officeDocument/2006/relationships/hyperlink" Target="https://www.teamrankings.com/college-football/team/james-madison-dukes" TargetMode="External"/><Relationship Id="rId136" Type="http://schemas.openxmlformats.org/officeDocument/2006/relationships/drawing" Target="../drawings/drawing12.xml"/><Relationship Id="rId135" Type="http://schemas.openxmlformats.org/officeDocument/2006/relationships/hyperlink" Target="https://www.teamrankings.com/college-football/team/kennesaw-state-owls" TargetMode="External"/><Relationship Id="rId134" Type="http://schemas.openxmlformats.org/officeDocument/2006/relationships/hyperlink" Target="https://www.teamrankings.com/college-football/team/missouri-state-bea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tennessee-volunteers" TargetMode="External"/><Relationship Id="rId61" Type="http://schemas.openxmlformats.org/officeDocument/2006/relationships/hyperlink" Target="https://www.teamrankings.com/college-football/team/south-carolina-gamecocks" TargetMode="External"/><Relationship Id="rId64" Type="http://schemas.openxmlformats.org/officeDocument/2006/relationships/hyperlink" Target="https://www.teamrankings.com/college-football/team/penn-state-nittany-lions" TargetMode="External"/><Relationship Id="rId63" Type="http://schemas.openxmlformats.org/officeDocument/2006/relationships/hyperlink" Target="https://www.teamrankings.com/college-football/team/arkansas-razorbacks" TargetMode="External"/><Relationship Id="rId66" Type="http://schemas.openxmlformats.org/officeDocument/2006/relationships/hyperlink" Target="https://www.teamrankings.com/college-football/team/oklahoma-state-cowboys" TargetMode="External"/><Relationship Id="rId65" Type="http://schemas.openxmlformats.org/officeDocument/2006/relationships/hyperlink" Target="https://www.teamrankings.com/college-football/team/iowa-hawkeyes" TargetMode="External"/><Relationship Id="rId68" Type="http://schemas.openxmlformats.org/officeDocument/2006/relationships/hyperlink" Target="https://www.teamrankings.com/college-football/team/san-diego-state-aztecs" TargetMode="External"/><Relationship Id="rId67" Type="http://schemas.openxmlformats.org/officeDocument/2006/relationships/hyperlink" Target="https://www.teamrankings.com/college-football/team/arkansas-state-red-wolves" TargetMode="External"/><Relationship Id="rId60" Type="http://schemas.openxmlformats.org/officeDocument/2006/relationships/hyperlink" Target="https://www.teamrankings.com/college-football/team/utep-miners" TargetMode="External"/><Relationship Id="rId69" Type="http://schemas.openxmlformats.org/officeDocument/2006/relationships/hyperlink" Target="https://www.teamrankings.com/college-football/team/maryland-terrapins" TargetMode="External"/><Relationship Id="rId51" Type="http://schemas.openxmlformats.org/officeDocument/2006/relationships/hyperlink" Target="https://www.teamrankings.com/college-football/team/rutgers-scarlet-knights" TargetMode="External"/><Relationship Id="rId50" Type="http://schemas.openxmlformats.org/officeDocument/2006/relationships/hyperlink" Target="https://www.teamrankings.com/college-football/team/nc-state-wolfpack" TargetMode="External"/><Relationship Id="rId53" Type="http://schemas.openxmlformats.org/officeDocument/2006/relationships/hyperlink" Target="https://www.teamrankings.com/college-football/team/florida-gators" TargetMode="External"/><Relationship Id="rId52" Type="http://schemas.openxmlformats.org/officeDocument/2006/relationships/hyperlink" Target="https://www.teamrankings.com/college-football/team/western-kentucky-hilltoppers" TargetMode="External"/><Relationship Id="rId55" Type="http://schemas.openxmlformats.org/officeDocument/2006/relationships/hyperlink" Target="https://www.teamrankings.com/college-football/team/texas-state-bobcats" TargetMode="External"/><Relationship Id="rId54" Type="http://schemas.openxmlformats.org/officeDocument/2006/relationships/hyperlink" Target="https://www.teamrankings.com/college-football/team/app-state-mountaineers" TargetMode="External"/><Relationship Id="rId57" Type="http://schemas.openxmlformats.org/officeDocument/2006/relationships/hyperlink" Target="https://www.teamrankings.com/college-football/team/washington-huskies" TargetMode="External"/><Relationship Id="rId56" Type="http://schemas.openxmlformats.org/officeDocument/2006/relationships/hyperlink" Target="https://www.teamrankings.com/college-football/team/bowling-green-falcons" TargetMode="External"/><Relationship Id="rId59" Type="http://schemas.openxmlformats.org/officeDocument/2006/relationships/hyperlink" Target="https://www.teamrankings.com/college-football/team/nevada-wolf-pack" TargetMode="External"/><Relationship Id="rId58" Type="http://schemas.openxmlformats.org/officeDocument/2006/relationships/hyperlink" Target="https://www.teamrankings.com/college-football/team/central-michigan-chippewas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miami-hurricanes" TargetMode="External"/><Relationship Id="rId42" Type="http://schemas.openxmlformats.org/officeDocument/2006/relationships/hyperlink" Target="https://www.teamrankings.com/college-football/team/utah-state-aggies" TargetMode="External"/><Relationship Id="rId41" Type="http://schemas.openxmlformats.org/officeDocument/2006/relationships/hyperlink" Target="https://www.teamrankings.com/college-football/team/western-kentucky-hilltoppers" TargetMode="External"/><Relationship Id="rId44" Type="http://schemas.openxmlformats.org/officeDocument/2006/relationships/hyperlink" Target="https://www.teamrankings.com/college-football/team/boise-state-broncos" TargetMode="External"/><Relationship Id="rId43" Type="http://schemas.openxmlformats.org/officeDocument/2006/relationships/hyperlink" Target="https://www.teamrankings.com/college-football/team/buffalo-bulls" TargetMode="External"/><Relationship Id="rId46" Type="http://schemas.openxmlformats.org/officeDocument/2006/relationships/hyperlink" Target="https://www.teamrankings.com/college-football/team/mississippi-rebels" TargetMode="External"/><Relationship Id="rId45" Type="http://schemas.openxmlformats.org/officeDocument/2006/relationships/hyperlink" Target="https://www.teamrankings.com/college-football/team/georgia-bulldogs" TargetMode="External"/><Relationship Id="rId107" Type="http://schemas.openxmlformats.org/officeDocument/2006/relationships/hyperlink" Target="https://www.teamrankings.com/college-football/team/nc-state-wolfpack" TargetMode="External"/><Relationship Id="rId106" Type="http://schemas.openxmlformats.org/officeDocument/2006/relationships/hyperlink" Target="https://www.teamrankings.com/college-football/team/new-mexico-lobos" TargetMode="External"/><Relationship Id="rId105" Type="http://schemas.openxmlformats.org/officeDocument/2006/relationships/hyperlink" Target="https://www.teamrankings.com/college-football/team/army-black-knights" TargetMode="External"/><Relationship Id="rId104" Type="http://schemas.openxmlformats.org/officeDocument/2006/relationships/hyperlink" Target="https://www.teamrankings.com/college-football/team/memphis-tigers" TargetMode="External"/><Relationship Id="rId109" Type="http://schemas.openxmlformats.org/officeDocument/2006/relationships/hyperlink" Target="https://www.teamrankings.com/college-football/team/old-dominion-monarchs" TargetMode="External"/><Relationship Id="rId108" Type="http://schemas.openxmlformats.org/officeDocument/2006/relationships/hyperlink" Target="https://www.teamrankings.com/college-football/team/connecticut-huskies" TargetMode="External"/><Relationship Id="rId48" Type="http://schemas.openxmlformats.org/officeDocument/2006/relationships/hyperlink" Target="https://www.teamrankings.com/college-football/team/iowa-hawkeyes" TargetMode="External"/><Relationship Id="rId47" Type="http://schemas.openxmlformats.org/officeDocument/2006/relationships/hyperlink" Target="https://www.teamrankings.com/college-football/team/minnesota-golden-gophers" TargetMode="External"/><Relationship Id="rId49" Type="http://schemas.openxmlformats.org/officeDocument/2006/relationships/hyperlink" Target="https://www.teamrankings.com/college-football/team/kansas-state-wildcats" TargetMode="External"/><Relationship Id="rId103" Type="http://schemas.openxmlformats.org/officeDocument/2006/relationships/hyperlink" Target="https://www.teamrankings.com/college-football/team/kansas-jayhawks" TargetMode="External"/><Relationship Id="rId102" Type="http://schemas.openxmlformats.org/officeDocument/2006/relationships/hyperlink" Target="https://www.teamrankings.com/college-football/team/iowa-state-cyclones" TargetMode="External"/><Relationship Id="rId101" Type="http://schemas.openxmlformats.org/officeDocument/2006/relationships/hyperlink" Target="https://www.teamrankings.com/college-football/team/arkansas-razorbacks" TargetMode="External"/><Relationship Id="rId100" Type="http://schemas.openxmlformats.org/officeDocument/2006/relationships/hyperlink" Target="https://www.teamrankings.com/college-football/team/tulsa-golden-hurricane" TargetMode="External"/><Relationship Id="rId31" Type="http://schemas.openxmlformats.org/officeDocument/2006/relationships/hyperlink" Target="https://www.teamrankings.com/college-football/team/notre-dame-fighting-irish" TargetMode="External"/><Relationship Id="rId30" Type="http://schemas.openxmlformats.org/officeDocument/2006/relationships/hyperlink" Target="https://www.teamrankings.com/college-football/team/navy-midshipmen" TargetMode="External"/><Relationship Id="rId33" Type="http://schemas.openxmlformats.org/officeDocument/2006/relationships/hyperlink" Target="https://www.teamrankings.com/college-football/team/wisconsin-badgers" TargetMode="External"/><Relationship Id="rId32" Type="http://schemas.openxmlformats.org/officeDocument/2006/relationships/hyperlink" Target="https://www.teamrankings.com/college-football/team/vanderbilt-commodores" TargetMode="External"/><Relationship Id="rId35" Type="http://schemas.openxmlformats.org/officeDocument/2006/relationships/hyperlink" Target="https://www.teamrankings.com/college-football/team/texas-am-aggies" TargetMode="External"/><Relationship Id="rId34" Type="http://schemas.openxmlformats.org/officeDocument/2006/relationships/hyperlink" Target="https://www.teamrankings.com/college-football/team/nebraska-cornhuskers" TargetMode="External"/><Relationship Id="rId37" Type="http://schemas.openxmlformats.org/officeDocument/2006/relationships/hyperlink" Target="https://www.teamrankings.com/college-football/team/louisiana-ragin-cajuns" TargetMode="External"/><Relationship Id="rId36" Type="http://schemas.openxmlformats.org/officeDocument/2006/relationships/hyperlink" Target="https://www.teamrankings.com/college-football/team/cincinnati-bearcats" TargetMode="External"/><Relationship Id="rId39" Type="http://schemas.openxmlformats.org/officeDocument/2006/relationships/hyperlink" Target="https://www.teamrankings.com/college-football/team/washington-huskies" TargetMode="External"/><Relationship Id="rId38" Type="http://schemas.openxmlformats.org/officeDocument/2006/relationships/hyperlink" Target="https://www.teamrankings.com/college-football/team/north-texas-mean-green" TargetMode="External"/><Relationship Id="rId20" Type="http://schemas.openxmlformats.org/officeDocument/2006/relationships/hyperlink" Target="https://www.teamrankings.com/college-football/team/louisiana-state-tigers" TargetMode="External"/><Relationship Id="rId22" Type="http://schemas.openxmlformats.org/officeDocument/2006/relationships/hyperlink" Target="https://www.teamrankings.com/college-football/team/east-carolina-pirates" TargetMode="External"/><Relationship Id="rId21" Type="http://schemas.openxmlformats.org/officeDocument/2006/relationships/hyperlink" Target="https://www.teamrankings.com/college-football/team/oklahoma-state-cowboys" TargetMode="External"/><Relationship Id="rId24" Type="http://schemas.openxmlformats.org/officeDocument/2006/relationships/hyperlink" Target="https://www.teamrankings.com/college-football/team/bowling-green-falcons" TargetMode="External"/><Relationship Id="rId23" Type="http://schemas.openxmlformats.org/officeDocument/2006/relationships/hyperlink" Target="https://www.teamrankings.com/college-football/team/ucla-bruins" TargetMode="External"/><Relationship Id="rId129" Type="http://schemas.openxmlformats.org/officeDocument/2006/relationships/hyperlink" Target="https://www.teamrankings.com/college-football/team/james-madison-dukes" TargetMode="External"/><Relationship Id="rId128" Type="http://schemas.openxmlformats.org/officeDocument/2006/relationships/hyperlink" Target="https://www.teamrankings.com/college-football/team/delaware-fightin-blue-hens" TargetMode="External"/><Relationship Id="rId127" Type="http://schemas.openxmlformats.org/officeDocument/2006/relationships/hyperlink" Target="https://www.teamrankings.com/college-football/team/app-state-mountaineers" TargetMode="External"/><Relationship Id="rId126" Type="http://schemas.openxmlformats.org/officeDocument/2006/relationships/hyperlink" Target="https://www.teamrankings.com/college-football/team/miami-oh-redhawks" TargetMode="External"/><Relationship Id="rId26" Type="http://schemas.openxmlformats.org/officeDocument/2006/relationships/hyperlink" Target="https://www.teamrankings.com/college-football/team/rice-owls" TargetMode="External"/><Relationship Id="rId121" Type="http://schemas.openxmlformats.org/officeDocument/2006/relationships/hyperlink" Target="https://www.teamrankings.com/college-football/team/purdue-boilermakers" TargetMode="External"/><Relationship Id="rId25" Type="http://schemas.openxmlformats.org/officeDocument/2006/relationships/hyperlink" Target="https://www.teamrankings.com/college-football/team/marshall-thundering-herd" TargetMode="External"/><Relationship Id="rId120" Type="http://schemas.openxmlformats.org/officeDocument/2006/relationships/hyperlink" Target="https://www.teamrankings.com/college-football/team/hawaii-rainbow-warriors" TargetMode="External"/><Relationship Id="rId28" Type="http://schemas.openxmlformats.org/officeDocument/2006/relationships/hyperlink" Target="https://www.teamrankings.com/college-football/team/usc-trojans" TargetMode="External"/><Relationship Id="rId27" Type="http://schemas.openxmlformats.org/officeDocument/2006/relationships/hyperlink" Target="https://www.teamrankings.com/college-football/team/arizona-state-sun-devils" TargetMode="External"/><Relationship Id="rId125" Type="http://schemas.openxmlformats.org/officeDocument/2006/relationships/hyperlink" Target="https://www.teamrankings.com/college-football/team/florida-international-panthers" TargetMode="External"/><Relationship Id="rId29" Type="http://schemas.openxmlformats.org/officeDocument/2006/relationships/hyperlink" Target="https://www.teamrankings.com/college-football/team/duke-blue-devils" TargetMode="External"/><Relationship Id="rId124" Type="http://schemas.openxmlformats.org/officeDocument/2006/relationships/hyperlink" Target="https://www.teamrankings.com/college-football/team/massachusetts-minutemen" TargetMode="External"/><Relationship Id="rId123" Type="http://schemas.openxmlformats.org/officeDocument/2006/relationships/hyperlink" Target="https://www.teamrankings.com/college-football/team/california-golden-bears" TargetMode="External"/><Relationship Id="rId122" Type="http://schemas.openxmlformats.org/officeDocument/2006/relationships/hyperlink" Target="https://www.teamrankings.com/college-football/team/southern-miss-golden-eagles" TargetMode="External"/><Relationship Id="rId95" Type="http://schemas.openxmlformats.org/officeDocument/2006/relationships/hyperlink" Target="https://www.teamrankings.com/college-football/team/illinois-fighting-illini" TargetMode="External"/><Relationship Id="rId94" Type="http://schemas.openxmlformats.org/officeDocument/2006/relationships/hyperlink" Target="https://www.teamrankings.com/college-football/team/florida-gators" TargetMode="External"/><Relationship Id="rId97" Type="http://schemas.openxmlformats.org/officeDocument/2006/relationships/hyperlink" Target="https://www.teamrankings.com/college-football/team/tcu-horned-frogs" TargetMode="External"/><Relationship Id="rId96" Type="http://schemas.openxmlformats.org/officeDocument/2006/relationships/hyperlink" Target="https://www.teamrankings.com/college-football/team/colorado-buffaloes" TargetMode="External"/><Relationship Id="rId11" Type="http://schemas.openxmlformats.org/officeDocument/2006/relationships/hyperlink" Target="https://www.teamrankings.com/college-football/team/fresno-state-bulldogs" TargetMode="External"/><Relationship Id="rId99" Type="http://schemas.openxmlformats.org/officeDocument/2006/relationships/hyperlink" Target="https://www.teamrankings.com/college-football/team/west-virginia-mountaineers" TargetMode="External"/><Relationship Id="rId10" Type="http://schemas.openxmlformats.org/officeDocument/2006/relationships/hyperlink" Target="https://www.teamrankings.com/college-football/team/missouri-tigers" TargetMode="External"/><Relationship Id="rId98" Type="http://schemas.openxmlformats.org/officeDocument/2006/relationships/hyperlink" Target="https://www.teamrankings.com/college-football/team/wake-forest-demon-deacons" TargetMode="External"/><Relationship Id="rId13" Type="http://schemas.openxmlformats.org/officeDocument/2006/relationships/hyperlink" Target="https://www.teamrankings.com/college-football/team/alabama-crimson-tide" TargetMode="External"/><Relationship Id="rId12" Type="http://schemas.openxmlformats.org/officeDocument/2006/relationships/hyperlink" Target="https://www.teamrankings.com/college-football/team/south-carolina-gamecocks" TargetMode="External"/><Relationship Id="rId91" Type="http://schemas.openxmlformats.org/officeDocument/2006/relationships/hyperlink" Target="https://www.teamrankings.com/college-football/team/kent-state-golden-flashes" TargetMode="External"/><Relationship Id="rId90" Type="http://schemas.openxmlformats.org/officeDocument/2006/relationships/hyperlink" Target="https://www.teamrankings.com/college-football/team/wyoming-cowboys" TargetMode="External"/><Relationship Id="rId93" Type="http://schemas.openxmlformats.org/officeDocument/2006/relationships/hyperlink" Target="https://www.teamrankings.com/college-football/team/louisiana-tech-bulldogs" TargetMode="External"/><Relationship Id="rId92" Type="http://schemas.openxmlformats.org/officeDocument/2006/relationships/hyperlink" Target="https://www.teamrankings.com/college-football/team/nevada-wolf-pack" TargetMode="External"/><Relationship Id="rId118" Type="http://schemas.openxmlformats.org/officeDocument/2006/relationships/hyperlink" Target="https://www.teamrankings.com/college-football/team/temple-owls" TargetMode="External"/><Relationship Id="rId117" Type="http://schemas.openxmlformats.org/officeDocument/2006/relationships/hyperlink" Target="https://www.teamrankings.com/college-football/team/virginia-cavaliers" TargetMode="External"/><Relationship Id="rId116" Type="http://schemas.openxmlformats.org/officeDocument/2006/relationships/hyperlink" Target="https://www.teamrankings.com/college-football/team/air-force-falcons" TargetMode="External"/><Relationship Id="rId115" Type="http://schemas.openxmlformats.org/officeDocument/2006/relationships/hyperlink" Target="https://www.teamrankings.com/college-football/team/new-mexico-state-aggies" TargetMode="External"/><Relationship Id="rId119" Type="http://schemas.openxmlformats.org/officeDocument/2006/relationships/hyperlink" Target="https://www.teamrankings.com/college-football/team/western-michigan-broncos" TargetMode="External"/><Relationship Id="rId15" Type="http://schemas.openxmlformats.org/officeDocument/2006/relationships/hyperlink" Target="https://www.teamrankings.com/college-football/team/baylor-bears" TargetMode="External"/><Relationship Id="rId110" Type="http://schemas.openxmlformats.org/officeDocument/2006/relationships/hyperlink" Target="https://www.teamrankings.com/college-football/team/eastern-michigan-eagles" TargetMode="External"/><Relationship Id="rId14" Type="http://schemas.openxmlformats.org/officeDocument/2006/relationships/hyperlink" Target="https://www.teamrankings.com/college-football/team/oklahoma-sooners" TargetMode="External"/><Relationship Id="rId17" Type="http://schemas.openxmlformats.org/officeDocument/2006/relationships/hyperlink" Target="https://www.teamrankings.com/college-football/team/clemson-tigers" TargetMode="External"/><Relationship Id="rId16" Type="http://schemas.openxmlformats.org/officeDocument/2006/relationships/hyperlink" Target="https://www.teamrankings.com/college-football/team/oregon-ducks" TargetMode="External"/><Relationship Id="rId19" Type="http://schemas.openxmlformats.org/officeDocument/2006/relationships/hyperlink" Target="https://www.teamrankings.com/college-football/team/ball-state-cardinals" TargetMode="External"/><Relationship Id="rId114" Type="http://schemas.openxmlformats.org/officeDocument/2006/relationships/hyperlink" Target="https://www.teamrankings.com/college-football/team/south-florida-bulls" TargetMode="External"/><Relationship Id="rId18" Type="http://schemas.openxmlformats.org/officeDocument/2006/relationships/hyperlink" Target="https://www.teamrankings.com/college-football/team/stanford-cardinal" TargetMode="External"/><Relationship Id="rId113" Type="http://schemas.openxmlformats.org/officeDocument/2006/relationships/hyperlink" Target="https://www.teamrankings.com/college-football/team/uab-blazers" TargetMode="External"/><Relationship Id="rId112" Type="http://schemas.openxmlformats.org/officeDocument/2006/relationships/hyperlink" Target="https://www.teamrankings.com/college-football/team/kentucky-wildcats" TargetMode="External"/><Relationship Id="rId111" Type="http://schemas.openxmlformats.org/officeDocument/2006/relationships/hyperlink" Target="https://www.teamrankings.com/college-football/team/utep-miners" TargetMode="External"/><Relationship Id="rId84" Type="http://schemas.openxmlformats.org/officeDocument/2006/relationships/hyperlink" Target="https://www.teamrankings.com/college-football/team/akron-zips" TargetMode="External"/><Relationship Id="rId83" Type="http://schemas.openxmlformats.org/officeDocument/2006/relationships/hyperlink" Target="https://www.teamrankings.com/college-football/team/rutgers-scarlet-knights" TargetMode="External"/><Relationship Id="rId86" Type="http://schemas.openxmlformats.org/officeDocument/2006/relationships/hyperlink" Target="https://www.teamrankings.com/college-football/team/tennessee-volunteers" TargetMode="External"/><Relationship Id="rId85" Type="http://schemas.openxmlformats.org/officeDocument/2006/relationships/hyperlink" Target="https://www.teamrankings.com/college-football/team/smu-mustangs" TargetMode="External"/><Relationship Id="rId88" Type="http://schemas.openxmlformats.org/officeDocument/2006/relationships/hyperlink" Target="https://www.teamrankings.com/college-football/team/northwestern-wildcats" TargetMode="External"/><Relationship Id="rId87" Type="http://schemas.openxmlformats.org/officeDocument/2006/relationships/hyperlink" Target="https://www.teamrankings.com/college-football/team/indiana-hoosiers" TargetMode="External"/><Relationship Id="rId89" Type="http://schemas.openxmlformats.org/officeDocument/2006/relationships/hyperlink" Target="https://www.teamrankings.com/college-football/team/utah-utes" TargetMode="External"/><Relationship Id="rId80" Type="http://schemas.openxmlformats.org/officeDocument/2006/relationships/hyperlink" Target="https://www.teamrankings.com/college-football/team/florida-atlantic-owls" TargetMode="External"/><Relationship Id="rId82" Type="http://schemas.openxmlformats.org/officeDocument/2006/relationships/hyperlink" Target="https://www.teamrankings.com/college-football/team/washington-state-cougars" TargetMode="External"/><Relationship Id="rId81" Type="http://schemas.openxmlformats.org/officeDocument/2006/relationships/hyperlink" Target="https://www.teamrankings.com/college-football/team/south-alabama-jaguars" TargetMode="External"/><Relationship Id="rId1" Type="http://schemas.openxmlformats.org/officeDocument/2006/relationships/hyperlink" Target="https://www.teamrankings.com/college-football/team/florida-state-seminoles" TargetMode="External"/><Relationship Id="rId2" Type="http://schemas.openxmlformats.org/officeDocument/2006/relationships/hyperlink" Target="https://www.teamrankings.com/college-football/team/georgia-southern-eagles" TargetMode="External"/><Relationship Id="rId3" Type="http://schemas.openxmlformats.org/officeDocument/2006/relationships/hyperlink" Target="https://www.teamrankings.com/college-football/team/jacksonville-state-gamecocks" TargetMode="External"/><Relationship Id="rId4" Type="http://schemas.openxmlformats.org/officeDocument/2006/relationships/hyperlink" Target="https://www.teamrankings.com/college-football/team/michigan-state-spartans" TargetMode="External"/><Relationship Id="rId9" Type="http://schemas.openxmlformats.org/officeDocument/2006/relationships/hyperlink" Target="https://www.teamrankings.com/college-football/team/ohio-state-buckeyes" TargetMode="External"/><Relationship Id="rId5" Type="http://schemas.openxmlformats.org/officeDocument/2006/relationships/hyperlink" Target="https://www.teamrankings.com/college-football/team/ucf-knights" TargetMode="External"/><Relationship Id="rId6" Type="http://schemas.openxmlformats.org/officeDocument/2006/relationships/hyperlink" Target="https://www.teamrankings.com/college-football/team/louisville-cardinals" TargetMode="External"/><Relationship Id="rId7" Type="http://schemas.openxmlformats.org/officeDocument/2006/relationships/hyperlink" Target="https://www.teamrankings.com/college-football/team/northern-illinois-huskies" TargetMode="External"/><Relationship Id="rId8" Type="http://schemas.openxmlformats.org/officeDocument/2006/relationships/hyperlink" Target="https://www.teamrankings.com/college-football/team/auburn-tigers" TargetMode="External"/><Relationship Id="rId73" Type="http://schemas.openxmlformats.org/officeDocument/2006/relationships/hyperlink" Target="https://www.teamrankings.com/college-football/team/boston-college-eagles" TargetMode="External"/><Relationship Id="rId72" Type="http://schemas.openxmlformats.org/officeDocument/2006/relationships/hyperlink" Target="https://www.teamrankings.com/college-football/team/pittsburgh-panthers" TargetMode="External"/><Relationship Id="rId75" Type="http://schemas.openxmlformats.org/officeDocument/2006/relationships/hyperlink" Target="https://www.teamrankings.com/college-football/team/central-michigan-chippewas" TargetMode="External"/><Relationship Id="rId74" Type="http://schemas.openxmlformats.org/officeDocument/2006/relationships/hyperlink" Target="https://www.teamrankings.com/college-football/team/syracuse-orange" TargetMode="External"/><Relationship Id="rId77" Type="http://schemas.openxmlformats.org/officeDocument/2006/relationships/hyperlink" Target="https://www.teamrankings.com/college-football/team/ul-monroe-warhawks" TargetMode="External"/><Relationship Id="rId76" Type="http://schemas.openxmlformats.org/officeDocument/2006/relationships/hyperlink" Target="https://www.teamrankings.com/college-football/team/san-jose-state-spartans" TargetMode="External"/><Relationship Id="rId79" Type="http://schemas.openxmlformats.org/officeDocument/2006/relationships/hyperlink" Target="https://www.teamrankings.com/college-football/team/texas-state-bobcats" TargetMode="External"/><Relationship Id="rId78" Type="http://schemas.openxmlformats.org/officeDocument/2006/relationships/hyperlink" Target="https://www.teamrankings.com/college-football/team/troy-trojans" TargetMode="External"/><Relationship Id="rId71" Type="http://schemas.openxmlformats.org/officeDocument/2006/relationships/hyperlink" Target="https://www.teamrankings.com/college-football/team/georgia-tech-yellow-jackets" TargetMode="External"/><Relationship Id="rId70" Type="http://schemas.openxmlformats.org/officeDocument/2006/relationships/hyperlink" Target="https://www.teamrankings.com/college-football/team/maryland-terrapins" TargetMode="External"/><Relationship Id="rId132" Type="http://schemas.openxmlformats.org/officeDocument/2006/relationships/hyperlink" Target="https://www.teamrankings.com/college-football/team/coastal-carolina-chanticleers" TargetMode="External"/><Relationship Id="rId131" Type="http://schemas.openxmlformats.org/officeDocument/2006/relationships/hyperlink" Target="https://www.teamrankings.com/college-football/team/sam-houston-bearkats" TargetMode="External"/><Relationship Id="rId130" Type="http://schemas.openxmlformats.org/officeDocument/2006/relationships/hyperlink" Target="https://www.teamrankings.com/college-football/team/liberty-flames" TargetMode="External"/><Relationship Id="rId135" Type="http://schemas.openxmlformats.org/officeDocument/2006/relationships/drawing" Target="../drawings/drawing13.xml"/><Relationship Id="rId134" Type="http://schemas.openxmlformats.org/officeDocument/2006/relationships/hyperlink" Target="https://www.teamrankings.com/college-football/team/georgia-state-panthe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colorado-state-rams" TargetMode="External"/><Relationship Id="rId61" Type="http://schemas.openxmlformats.org/officeDocument/2006/relationships/hyperlink" Target="https://www.teamrankings.com/college-football/team/utsa-roadrunners" TargetMode="External"/><Relationship Id="rId64" Type="http://schemas.openxmlformats.org/officeDocument/2006/relationships/hyperlink" Target="https://www.teamrankings.com/college-football/team/mississippi-state-bulldogs" TargetMode="External"/><Relationship Id="rId63" Type="http://schemas.openxmlformats.org/officeDocument/2006/relationships/hyperlink" Target="https://www.teamrankings.com/college-football/team/ohio-bobcats" TargetMode="External"/><Relationship Id="rId66" Type="http://schemas.openxmlformats.org/officeDocument/2006/relationships/hyperlink" Target="https://www.teamrankings.com/college-football/team/tulane-green-wave" TargetMode="External"/><Relationship Id="rId65" Type="http://schemas.openxmlformats.org/officeDocument/2006/relationships/hyperlink" Target="https://www.teamrankings.com/college-football/team/michigan-wolverines" TargetMode="External"/><Relationship Id="rId68" Type="http://schemas.openxmlformats.org/officeDocument/2006/relationships/hyperlink" Target="https://www.teamrankings.com/college-football/team/oregon-state-beavers" TargetMode="External"/><Relationship Id="rId67" Type="http://schemas.openxmlformats.org/officeDocument/2006/relationships/hyperlink" Target="https://www.teamrankings.com/college-football/team/unlv-rebels" TargetMode="External"/><Relationship Id="rId60" Type="http://schemas.openxmlformats.org/officeDocument/2006/relationships/hyperlink" Target="https://www.teamrankings.com/college-football/team/penn-state-nittany-lions" TargetMode="External"/><Relationship Id="rId69" Type="http://schemas.openxmlformats.org/officeDocument/2006/relationships/hyperlink" Target="https://www.teamrankings.com/college-football/team/north-carolina-tar-heels" TargetMode="External"/><Relationship Id="rId51" Type="http://schemas.openxmlformats.org/officeDocument/2006/relationships/hyperlink" Target="https://www.teamrankings.com/college-football/team/texas-tech-red-raiders" TargetMode="External"/><Relationship Id="rId50" Type="http://schemas.openxmlformats.org/officeDocument/2006/relationships/hyperlink" Target="https://www.teamrankings.com/college-football/team/texas-longhorns" TargetMode="External"/><Relationship Id="rId53" Type="http://schemas.openxmlformats.org/officeDocument/2006/relationships/hyperlink" Target="https://www.teamrankings.com/college-football/team/middle-tennessee-blue-raiders" TargetMode="External"/><Relationship Id="rId52" Type="http://schemas.openxmlformats.org/officeDocument/2006/relationships/hyperlink" Target="https://www.teamrankings.com/college-football/team/houston-cougars" TargetMode="External"/><Relationship Id="rId55" Type="http://schemas.openxmlformats.org/officeDocument/2006/relationships/hyperlink" Target="https://www.teamrankings.com/college-football/team/byu-cougars" TargetMode="External"/><Relationship Id="rId54" Type="http://schemas.openxmlformats.org/officeDocument/2006/relationships/hyperlink" Target="https://www.teamrankings.com/college-football/team/arkansas-state-red-wolves" TargetMode="External"/><Relationship Id="rId57" Type="http://schemas.openxmlformats.org/officeDocument/2006/relationships/hyperlink" Target="https://www.teamrankings.com/college-football/team/arizona-wildcats" TargetMode="External"/><Relationship Id="rId56" Type="http://schemas.openxmlformats.org/officeDocument/2006/relationships/hyperlink" Target="https://www.teamrankings.com/college-football/team/san-diego-state-aztecs" TargetMode="External"/><Relationship Id="rId59" Type="http://schemas.openxmlformats.org/officeDocument/2006/relationships/hyperlink" Target="https://www.teamrankings.com/college-football/team/toledo-rockets" TargetMode="External"/><Relationship Id="rId58" Type="http://schemas.openxmlformats.org/officeDocument/2006/relationships/hyperlink" Target="https://www.teamrankings.com/college-football/team/virginia-tech-hokies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north-carolina-tar-heels" TargetMode="External"/><Relationship Id="rId42" Type="http://schemas.openxmlformats.org/officeDocument/2006/relationships/hyperlink" Target="https://www.teamrankings.com/college-football/team/ucla-bruins" TargetMode="External"/><Relationship Id="rId41" Type="http://schemas.openxmlformats.org/officeDocument/2006/relationships/hyperlink" Target="https://www.teamrankings.com/college-football/team/utsa-roadrunners" TargetMode="External"/><Relationship Id="rId44" Type="http://schemas.openxmlformats.org/officeDocument/2006/relationships/hyperlink" Target="https://www.teamrankings.com/college-football/team/navy-midshipmen" TargetMode="External"/><Relationship Id="rId43" Type="http://schemas.openxmlformats.org/officeDocument/2006/relationships/hyperlink" Target="https://www.teamrankings.com/college-football/team/bowling-green-falcons" TargetMode="External"/><Relationship Id="rId46" Type="http://schemas.openxmlformats.org/officeDocument/2006/relationships/hyperlink" Target="https://www.teamrankings.com/college-football/team/michigan-wolverines" TargetMode="External"/><Relationship Id="rId45" Type="http://schemas.openxmlformats.org/officeDocument/2006/relationships/hyperlink" Target="https://www.teamrankings.com/college-football/team/mississippi-state-bulldogs" TargetMode="External"/><Relationship Id="rId107" Type="http://schemas.openxmlformats.org/officeDocument/2006/relationships/hyperlink" Target="https://www.teamrankings.com/college-football/team/washington-state-cougars" TargetMode="External"/><Relationship Id="rId106" Type="http://schemas.openxmlformats.org/officeDocument/2006/relationships/hyperlink" Target="https://www.teamrankings.com/college-football/team/california-golden-bears" TargetMode="External"/><Relationship Id="rId105" Type="http://schemas.openxmlformats.org/officeDocument/2006/relationships/hyperlink" Target="https://www.teamrankings.com/college-football/team/south-florida-bulls" TargetMode="External"/><Relationship Id="rId104" Type="http://schemas.openxmlformats.org/officeDocument/2006/relationships/hyperlink" Target="https://www.teamrankings.com/college-football/team/uab-blazers" TargetMode="External"/><Relationship Id="rId109" Type="http://schemas.openxmlformats.org/officeDocument/2006/relationships/hyperlink" Target="https://www.teamrankings.com/college-football/team/florida-atlantic-owls" TargetMode="External"/><Relationship Id="rId108" Type="http://schemas.openxmlformats.org/officeDocument/2006/relationships/hyperlink" Target="https://www.teamrankings.com/college-football/team/florida-international-panthers" TargetMode="External"/><Relationship Id="rId48" Type="http://schemas.openxmlformats.org/officeDocument/2006/relationships/hyperlink" Target="https://www.teamrankings.com/college-football/team/baylor-bears" TargetMode="External"/><Relationship Id="rId47" Type="http://schemas.openxmlformats.org/officeDocument/2006/relationships/hyperlink" Target="https://www.teamrankings.com/college-football/team/texas-tech-red-raiders" TargetMode="External"/><Relationship Id="rId49" Type="http://schemas.openxmlformats.org/officeDocument/2006/relationships/hyperlink" Target="https://www.teamrankings.com/college-football/team/oklahoma-state-cowboys" TargetMode="External"/><Relationship Id="rId103" Type="http://schemas.openxmlformats.org/officeDocument/2006/relationships/hyperlink" Target="https://www.teamrankings.com/college-football/team/auburn-tigers" TargetMode="External"/><Relationship Id="rId102" Type="http://schemas.openxmlformats.org/officeDocument/2006/relationships/hyperlink" Target="https://www.teamrankings.com/college-football/team/hawaii-rainbow-warriors" TargetMode="External"/><Relationship Id="rId101" Type="http://schemas.openxmlformats.org/officeDocument/2006/relationships/hyperlink" Target="https://www.teamrankings.com/college-football/team/utep-miners" TargetMode="External"/><Relationship Id="rId100" Type="http://schemas.openxmlformats.org/officeDocument/2006/relationships/hyperlink" Target="https://www.teamrankings.com/college-football/team/new-mexico-lobos" TargetMode="External"/><Relationship Id="rId31" Type="http://schemas.openxmlformats.org/officeDocument/2006/relationships/hyperlink" Target="https://www.teamrankings.com/college-football/team/fresno-state-bulldogs" TargetMode="External"/><Relationship Id="rId30" Type="http://schemas.openxmlformats.org/officeDocument/2006/relationships/hyperlink" Target="https://www.teamrankings.com/college-football/team/ohio-bobcats" TargetMode="External"/><Relationship Id="rId33" Type="http://schemas.openxmlformats.org/officeDocument/2006/relationships/hyperlink" Target="https://www.teamrankings.com/college-football/team/texas-longhorns" TargetMode="External"/><Relationship Id="rId32" Type="http://schemas.openxmlformats.org/officeDocument/2006/relationships/hyperlink" Target="https://www.teamrankings.com/college-football/team/vanderbilt-commodores" TargetMode="External"/><Relationship Id="rId35" Type="http://schemas.openxmlformats.org/officeDocument/2006/relationships/hyperlink" Target="https://www.teamrankings.com/college-football/team/san-diego-state-aztecs" TargetMode="External"/><Relationship Id="rId34" Type="http://schemas.openxmlformats.org/officeDocument/2006/relationships/hyperlink" Target="https://www.teamrankings.com/college-football/team/louisiana-ragin-cajuns" TargetMode="External"/><Relationship Id="rId37" Type="http://schemas.openxmlformats.org/officeDocument/2006/relationships/hyperlink" Target="https://www.teamrankings.com/college-football/team/rutgers-scarlet-knights" TargetMode="External"/><Relationship Id="rId36" Type="http://schemas.openxmlformats.org/officeDocument/2006/relationships/hyperlink" Target="https://www.teamrankings.com/college-football/team/oregon-state-beavers" TargetMode="External"/><Relationship Id="rId39" Type="http://schemas.openxmlformats.org/officeDocument/2006/relationships/hyperlink" Target="https://www.teamrankings.com/college-football/team/middle-tennessee-blue-raiders" TargetMode="External"/><Relationship Id="rId38" Type="http://schemas.openxmlformats.org/officeDocument/2006/relationships/hyperlink" Target="https://www.teamrankings.com/college-football/team/penn-state-nittany-lions" TargetMode="External"/><Relationship Id="rId20" Type="http://schemas.openxmlformats.org/officeDocument/2006/relationships/hyperlink" Target="https://www.teamrankings.com/college-football/team/louisiana-state-tigers" TargetMode="External"/><Relationship Id="rId22" Type="http://schemas.openxmlformats.org/officeDocument/2006/relationships/hyperlink" Target="https://www.teamrankings.com/college-football/team/oklahoma-sooners" TargetMode="External"/><Relationship Id="rId21" Type="http://schemas.openxmlformats.org/officeDocument/2006/relationships/hyperlink" Target="https://www.teamrankings.com/college-football/team/northwestern-wildcats" TargetMode="External"/><Relationship Id="rId24" Type="http://schemas.openxmlformats.org/officeDocument/2006/relationships/hyperlink" Target="https://www.teamrankings.com/college-football/team/arkansas-state-red-wolves" TargetMode="External"/><Relationship Id="rId23" Type="http://schemas.openxmlformats.org/officeDocument/2006/relationships/hyperlink" Target="https://www.teamrankings.com/college-football/team/cincinnati-bearcats" TargetMode="External"/><Relationship Id="rId129" Type="http://schemas.openxmlformats.org/officeDocument/2006/relationships/hyperlink" Target="https://www.teamrankings.com/college-football/team/jacksonville-state-gamecocks" TargetMode="External"/><Relationship Id="rId128" Type="http://schemas.openxmlformats.org/officeDocument/2006/relationships/hyperlink" Target="https://www.teamrankings.com/college-football/team/sam-houston-bearkats" TargetMode="External"/><Relationship Id="rId127" Type="http://schemas.openxmlformats.org/officeDocument/2006/relationships/hyperlink" Target="https://www.teamrankings.com/college-football/team/liberty-flames" TargetMode="External"/><Relationship Id="rId126" Type="http://schemas.openxmlformats.org/officeDocument/2006/relationships/hyperlink" Target="https://www.teamrankings.com/college-football/team/georgia-southern-eagles" TargetMode="External"/><Relationship Id="rId26" Type="http://schemas.openxmlformats.org/officeDocument/2006/relationships/hyperlink" Target="https://www.teamrankings.com/college-football/team/ucf-knights" TargetMode="External"/><Relationship Id="rId121" Type="http://schemas.openxmlformats.org/officeDocument/2006/relationships/hyperlink" Target="https://www.teamrankings.com/college-football/team/new-mexico-state-aggies" TargetMode="External"/><Relationship Id="rId25" Type="http://schemas.openxmlformats.org/officeDocument/2006/relationships/hyperlink" Target="https://www.teamrankings.com/college-football/team/louisiana-tech-bulldogs" TargetMode="External"/><Relationship Id="rId120" Type="http://schemas.openxmlformats.org/officeDocument/2006/relationships/hyperlink" Target="https://www.teamrankings.com/college-football/team/kansas-jayhawks" TargetMode="External"/><Relationship Id="rId28" Type="http://schemas.openxmlformats.org/officeDocument/2006/relationships/hyperlink" Target="https://www.teamrankings.com/college-football/team/ball-state-cardinals" TargetMode="External"/><Relationship Id="rId27" Type="http://schemas.openxmlformats.org/officeDocument/2006/relationships/hyperlink" Target="https://www.teamrankings.com/college-football/team/nebraska-cornhuskers" TargetMode="External"/><Relationship Id="rId125" Type="http://schemas.openxmlformats.org/officeDocument/2006/relationships/hyperlink" Target="https://www.teamrankings.com/college-football/team/james-madison-dukes" TargetMode="External"/><Relationship Id="rId29" Type="http://schemas.openxmlformats.org/officeDocument/2006/relationships/hyperlink" Target="https://www.teamrankings.com/college-football/team/toledo-rockets" TargetMode="External"/><Relationship Id="rId124" Type="http://schemas.openxmlformats.org/officeDocument/2006/relationships/hyperlink" Target="https://www.teamrankings.com/college-football/team/app-state-mountaineers" TargetMode="External"/><Relationship Id="rId123" Type="http://schemas.openxmlformats.org/officeDocument/2006/relationships/hyperlink" Target="https://www.teamrankings.com/college-football/team/southern-miss-golden-eagles" TargetMode="External"/><Relationship Id="rId122" Type="http://schemas.openxmlformats.org/officeDocument/2006/relationships/hyperlink" Target="https://www.teamrankings.com/college-football/team/massachusetts-minutemen" TargetMode="External"/><Relationship Id="rId95" Type="http://schemas.openxmlformats.org/officeDocument/2006/relationships/hyperlink" Target="https://www.teamrankings.com/college-football/team/colorado-state-rams" TargetMode="External"/><Relationship Id="rId94" Type="http://schemas.openxmlformats.org/officeDocument/2006/relationships/hyperlink" Target="https://www.teamrankings.com/college-football/team/north-texas-mean-green" TargetMode="External"/><Relationship Id="rId97" Type="http://schemas.openxmlformats.org/officeDocument/2006/relationships/hyperlink" Target="https://www.teamrankings.com/college-football/team/virginia-cavaliers" TargetMode="External"/><Relationship Id="rId96" Type="http://schemas.openxmlformats.org/officeDocument/2006/relationships/hyperlink" Target="https://www.teamrankings.com/college-football/team/wyoming-cowboys" TargetMode="External"/><Relationship Id="rId11" Type="http://schemas.openxmlformats.org/officeDocument/2006/relationships/hyperlink" Target="https://www.teamrankings.com/college-football/team/south-carolina-gamecocks" TargetMode="External"/><Relationship Id="rId99" Type="http://schemas.openxmlformats.org/officeDocument/2006/relationships/hyperlink" Target="https://www.teamrankings.com/college-football/team/texas-state-bobcats" TargetMode="External"/><Relationship Id="rId10" Type="http://schemas.openxmlformats.org/officeDocument/2006/relationships/hyperlink" Target="https://www.teamrankings.com/college-football/team/san-jose-state-spartans" TargetMode="External"/><Relationship Id="rId98" Type="http://schemas.openxmlformats.org/officeDocument/2006/relationships/hyperlink" Target="https://www.teamrankings.com/college-football/team/maryland-terrapins" TargetMode="External"/><Relationship Id="rId13" Type="http://schemas.openxmlformats.org/officeDocument/2006/relationships/hyperlink" Target="https://www.teamrankings.com/college-football/team/kansas-state-wildcats" TargetMode="External"/><Relationship Id="rId12" Type="http://schemas.openxmlformats.org/officeDocument/2006/relationships/hyperlink" Target="https://www.teamrankings.com/college-football/team/florida-gators" TargetMode="External"/><Relationship Id="rId91" Type="http://schemas.openxmlformats.org/officeDocument/2006/relationships/hyperlink" Target="https://www.teamrankings.com/college-football/team/indiana-hoosiers" TargetMode="External"/><Relationship Id="rId90" Type="http://schemas.openxmlformats.org/officeDocument/2006/relationships/hyperlink" Target="https://www.teamrankings.com/college-football/team/arkansas-razorbacks" TargetMode="External"/><Relationship Id="rId93" Type="http://schemas.openxmlformats.org/officeDocument/2006/relationships/hyperlink" Target="https://www.teamrankings.com/college-football/team/memphis-tigers" TargetMode="External"/><Relationship Id="rId92" Type="http://schemas.openxmlformats.org/officeDocument/2006/relationships/hyperlink" Target="https://www.teamrankings.com/college-football/team/iowa-hawkeyes" TargetMode="External"/><Relationship Id="rId118" Type="http://schemas.openxmlformats.org/officeDocument/2006/relationships/hyperlink" Target="https://www.teamrankings.com/college-football/team/akron-zips" TargetMode="External"/><Relationship Id="rId117" Type="http://schemas.openxmlformats.org/officeDocument/2006/relationships/hyperlink" Target="https://www.teamrankings.com/college-football/team/south-alabama-jaguars" TargetMode="External"/><Relationship Id="rId116" Type="http://schemas.openxmlformats.org/officeDocument/2006/relationships/hyperlink" Target="https://www.teamrankings.com/college-football/team/unlv-rebels" TargetMode="External"/><Relationship Id="rId115" Type="http://schemas.openxmlformats.org/officeDocument/2006/relationships/hyperlink" Target="https://www.teamrankings.com/college-football/team/boston-college-eagles" TargetMode="External"/><Relationship Id="rId119" Type="http://schemas.openxmlformats.org/officeDocument/2006/relationships/hyperlink" Target="https://www.teamrankings.com/college-football/team/colorado-buffaloes" TargetMode="External"/><Relationship Id="rId15" Type="http://schemas.openxmlformats.org/officeDocument/2006/relationships/hyperlink" Target="https://www.teamrankings.com/college-football/team/louisville-cardinals" TargetMode="External"/><Relationship Id="rId110" Type="http://schemas.openxmlformats.org/officeDocument/2006/relationships/hyperlink" Target="https://www.teamrankings.com/college-football/team/eastern-michigan-eagles" TargetMode="External"/><Relationship Id="rId14" Type="http://schemas.openxmlformats.org/officeDocument/2006/relationships/hyperlink" Target="https://www.teamrankings.com/college-football/team/texas-am-aggies" TargetMode="External"/><Relationship Id="rId17" Type="http://schemas.openxmlformats.org/officeDocument/2006/relationships/hyperlink" Target="https://www.teamrankings.com/college-football/team/clemson-tigers" TargetMode="External"/><Relationship Id="rId16" Type="http://schemas.openxmlformats.org/officeDocument/2006/relationships/hyperlink" Target="https://www.teamrankings.com/college-football/team/utah-state-aggies" TargetMode="External"/><Relationship Id="rId19" Type="http://schemas.openxmlformats.org/officeDocument/2006/relationships/hyperlink" Target="https://www.teamrankings.com/college-football/team/tulsa-golden-hurricane" TargetMode="External"/><Relationship Id="rId114" Type="http://schemas.openxmlformats.org/officeDocument/2006/relationships/hyperlink" Target="https://www.teamrankings.com/college-football/team/tulane-green-wave" TargetMode="External"/><Relationship Id="rId18" Type="http://schemas.openxmlformats.org/officeDocument/2006/relationships/hyperlink" Target="https://www.teamrankings.com/college-football/team/kent-state-golden-flashes" TargetMode="External"/><Relationship Id="rId113" Type="http://schemas.openxmlformats.org/officeDocument/2006/relationships/hyperlink" Target="https://www.teamrankings.com/college-football/team/army-black-knights" TargetMode="External"/><Relationship Id="rId112" Type="http://schemas.openxmlformats.org/officeDocument/2006/relationships/hyperlink" Target="https://www.teamrankings.com/college-football/team/illinois-fighting-illini" TargetMode="External"/><Relationship Id="rId111" Type="http://schemas.openxmlformats.org/officeDocument/2006/relationships/hyperlink" Target="https://www.teamrankings.com/college-football/team/kentucky-wildcats" TargetMode="External"/><Relationship Id="rId84" Type="http://schemas.openxmlformats.org/officeDocument/2006/relationships/hyperlink" Target="https://www.teamrankings.com/college-football/team/wake-forest-demon-deacons" TargetMode="External"/><Relationship Id="rId83" Type="http://schemas.openxmlformats.org/officeDocument/2006/relationships/hyperlink" Target="https://www.teamrankings.com/college-football/team/utah-utes" TargetMode="External"/><Relationship Id="rId86" Type="http://schemas.openxmlformats.org/officeDocument/2006/relationships/hyperlink" Target="https://www.teamrankings.com/college-football/team/temple-owls" TargetMode="External"/><Relationship Id="rId85" Type="http://schemas.openxmlformats.org/officeDocument/2006/relationships/hyperlink" Target="https://www.teamrankings.com/college-football/team/connecticut-huskies" TargetMode="External"/><Relationship Id="rId88" Type="http://schemas.openxmlformats.org/officeDocument/2006/relationships/hyperlink" Target="https://www.teamrankings.com/college-football/team/miami-oh-redhawks" TargetMode="External"/><Relationship Id="rId87" Type="http://schemas.openxmlformats.org/officeDocument/2006/relationships/hyperlink" Target="https://www.teamrankings.com/college-football/team/western-michigan-broncos" TargetMode="External"/><Relationship Id="rId89" Type="http://schemas.openxmlformats.org/officeDocument/2006/relationships/hyperlink" Target="https://www.teamrankings.com/college-football/team/buffalo-bulls" TargetMode="External"/><Relationship Id="rId80" Type="http://schemas.openxmlformats.org/officeDocument/2006/relationships/hyperlink" Target="https://www.teamrankings.com/college-football/team/missouri-tigers" TargetMode="External"/><Relationship Id="rId82" Type="http://schemas.openxmlformats.org/officeDocument/2006/relationships/hyperlink" Target="https://www.teamrankings.com/college-football/team/troy-trojans" TargetMode="External"/><Relationship Id="rId81" Type="http://schemas.openxmlformats.org/officeDocument/2006/relationships/hyperlink" Target="https://www.teamrankings.com/college-football/team/houston-cougars" TargetMode="External"/><Relationship Id="rId1" Type="http://schemas.openxmlformats.org/officeDocument/2006/relationships/hyperlink" Target="https://www.teamrankings.com/college-football/team/ohio-state-buckeyes" TargetMode="External"/><Relationship Id="rId2" Type="http://schemas.openxmlformats.org/officeDocument/2006/relationships/hyperlink" Target="https://www.teamrankings.com/college-football/team/alabama-crimson-tide" TargetMode="External"/><Relationship Id="rId3" Type="http://schemas.openxmlformats.org/officeDocument/2006/relationships/hyperlink" Target="https://www.teamrankings.com/college-football/team/notre-dame-fighting-irish" TargetMode="External"/><Relationship Id="rId4" Type="http://schemas.openxmlformats.org/officeDocument/2006/relationships/hyperlink" Target="https://www.teamrankings.com/college-football/team/oregon-ducks" TargetMode="External"/><Relationship Id="rId9" Type="http://schemas.openxmlformats.org/officeDocument/2006/relationships/hyperlink" Target="https://www.teamrankings.com/college-football/team/boise-state-broncos" TargetMode="External"/><Relationship Id="rId5" Type="http://schemas.openxmlformats.org/officeDocument/2006/relationships/hyperlink" Target="https://www.teamrankings.com/college-football/team/northern-illinois-huskies" TargetMode="External"/><Relationship Id="rId6" Type="http://schemas.openxmlformats.org/officeDocument/2006/relationships/hyperlink" Target="https://www.teamrankings.com/college-football/team/georgia-bulldogs" TargetMode="External"/><Relationship Id="rId7" Type="http://schemas.openxmlformats.org/officeDocument/2006/relationships/hyperlink" Target="https://www.teamrankings.com/college-football/team/stanford-cardinal" TargetMode="External"/><Relationship Id="rId8" Type="http://schemas.openxmlformats.org/officeDocument/2006/relationships/hyperlink" Target="https://www.teamrankings.com/college-football/team/florida-state-seminoles" TargetMode="External"/><Relationship Id="rId73" Type="http://schemas.openxmlformats.org/officeDocument/2006/relationships/hyperlink" Target="https://www.teamrankings.com/college-football/team/purdue-boilermakers" TargetMode="External"/><Relationship Id="rId72" Type="http://schemas.openxmlformats.org/officeDocument/2006/relationships/hyperlink" Target="https://www.teamrankings.com/college-football/team/minnesota-golden-gophers" TargetMode="External"/><Relationship Id="rId75" Type="http://schemas.openxmlformats.org/officeDocument/2006/relationships/hyperlink" Target="https://www.teamrankings.com/college-football/team/air-force-falcons" TargetMode="External"/><Relationship Id="rId74" Type="http://schemas.openxmlformats.org/officeDocument/2006/relationships/hyperlink" Target="https://www.teamrankings.com/college-football/team/iowa-state-cyclones" TargetMode="External"/><Relationship Id="rId77" Type="http://schemas.openxmlformats.org/officeDocument/2006/relationships/hyperlink" Target="https://www.teamrankings.com/college-football/team/pittsburgh-panthers" TargetMode="External"/><Relationship Id="rId76" Type="http://schemas.openxmlformats.org/officeDocument/2006/relationships/hyperlink" Target="https://www.teamrankings.com/college-football/team/duke-blue-devils" TargetMode="External"/><Relationship Id="rId79" Type="http://schemas.openxmlformats.org/officeDocument/2006/relationships/hyperlink" Target="https://www.teamrankings.com/college-football/team/tennessee-volunteers" TargetMode="External"/><Relationship Id="rId78" Type="http://schemas.openxmlformats.org/officeDocument/2006/relationships/hyperlink" Target="https://www.teamrankings.com/college-football/team/marshall-thundering-herd" TargetMode="External"/><Relationship Id="rId71" Type="http://schemas.openxmlformats.org/officeDocument/2006/relationships/hyperlink" Target="https://www.teamrankings.com/college-football/team/georgia-tech-yellow-jackets" TargetMode="External"/><Relationship Id="rId70" Type="http://schemas.openxmlformats.org/officeDocument/2006/relationships/hyperlink" Target="https://www.teamrankings.com/college-football/team/western-kentucky-hilltoppers" TargetMode="External"/><Relationship Id="rId132" Type="http://schemas.openxmlformats.org/officeDocument/2006/relationships/hyperlink" Target="https://www.teamrankings.com/college-football/team/georgia-state-panthers" TargetMode="External"/><Relationship Id="rId131" Type="http://schemas.openxmlformats.org/officeDocument/2006/relationships/hyperlink" Target="https://www.teamrankings.com/college-football/team/missouri-state-bears" TargetMode="External"/><Relationship Id="rId130" Type="http://schemas.openxmlformats.org/officeDocument/2006/relationships/hyperlink" Target="https://www.teamrankings.com/college-football/team/coastal-carolina-chanticleers" TargetMode="External"/><Relationship Id="rId135" Type="http://schemas.openxmlformats.org/officeDocument/2006/relationships/drawing" Target="../drawings/drawing14.xml"/><Relationship Id="rId134" Type="http://schemas.openxmlformats.org/officeDocument/2006/relationships/hyperlink" Target="https://www.teamrankings.com/college-football/team/georgia-state-panthe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mississippi-rebels" TargetMode="External"/><Relationship Id="rId61" Type="http://schemas.openxmlformats.org/officeDocument/2006/relationships/hyperlink" Target="https://www.teamrankings.com/college-football/team/smu-mustangs" TargetMode="External"/><Relationship Id="rId64" Type="http://schemas.openxmlformats.org/officeDocument/2006/relationships/hyperlink" Target="https://www.teamrankings.com/college-football/team/tcu-horned-frogs" TargetMode="External"/><Relationship Id="rId63" Type="http://schemas.openxmlformats.org/officeDocument/2006/relationships/hyperlink" Target="https://www.teamrankings.com/college-football/team/michigan-state-spartans" TargetMode="External"/><Relationship Id="rId66" Type="http://schemas.openxmlformats.org/officeDocument/2006/relationships/hyperlink" Target="https://www.teamrankings.com/college-football/team/usc-trojans" TargetMode="External"/><Relationship Id="rId65" Type="http://schemas.openxmlformats.org/officeDocument/2006/relationships/hyperlink" Target="https://www.teamrankings.com/college-football/team/washington-huskies" TargetMode="External"/><Relationship Id="rId68" Type="http://schemas.openxmlformats.org/officeDocument/2006/relationships/hyperlink" Target="https://www.teamrankings.com/college-football/team/virginia-tech-hokies" TargetMode="External"/><Relationship Id="rId67" Type="http://schemas.openxmlformats.org/officeDocument/2006/relationships/hyperlink" Target="https://www.teamrankings.com/college-football/team/nc-state-wolfpack" TargetMode="External"/><Relationship Id="rId60" Type="http://schemas.openxmlformats.org/officeDocument/2006/relationships/hyperlink" Target="https://www.teamrankings.com/college-football/team/rice-owls" TargetMode="External"/><Relationship Id="rId69" Type="http://schemas.openxmlformats.org/officeDocument/2006/relationships/hyperlink" Target="https://www.teamrankings.com/college-football/team/west-virginia-mountaineers" TargetMode="External"/><Relationship Id="rId51" Type="http://schemas.openxmlformats.org/officeDocument/2006/relationships/hyperlink" Target="https://www.teamrankings.com/college-football/team/ul-monroe-warhawks" TargetMode="External"/><Relationship Id="rId50" Type="http://schemas.openxmlformats.org/officeDocument/2006/relationships/hyperlink" Target="https://www.teamrankings.com/college-football/team/east-carolina-pirates" TargetMode="External"/><Relationship Id="rId53" Type="http://schemas.openxmlformats.org/officeDocument/2006/relationships/hyperlink" Target="https://www.teamrankings.com/college-football/team/arizona-state-sun-devils" TargetMode="External"/><Relationship Id="rId52" Type="http://schemas.openxmlformats.org/officeDocument/2006/relationships/hyperlink" Target="https://www.teamrankings.com/college-football/team/byu-cougars" TargetMode="External"/><Relationship Id="rId55" Type="http://schemas.openxmlformats.org/officeDocument/2006/relationships/hyperlink" Target="https://www.teamrankings.com/college-football/team/syracuse-orange" TargetMode="External"/><Relationship Id="rId54" Type="http://schemas.openxmlformats.org/officeDocument/2006/relationships/hyperlink" Target="https://www.teamrankings.com/college-football/team/arizona-wildcats" TargetMode="External"/><Relationship Id="rId57" Type="http://schemas.openxmlformats.org/officeDocument/2006/relationships/hyperlink" Target="https://www.teamrankings.com/college-football/team/wisconsin-badgers" TargetMode="External"/><Relationship Id="rId56" Type="http://schemas.openxmlformats.org/officeDocument/2006/relationships/hyperlink" Target="https://www.teamrankings.com/college-football/team/miami-hurricanes" TargetMode="External"/><Relationship Id="rId59" Type="http://schemas.openxmlformats.org/officeDocument/2006/relationships/hyperlink" Target="https://www.teamrankings.com/college-football/team/nevada-wolf-pack" TargetMode="External"/><Relationship Id="rId58" Type="http://schemas.openxmlformats.org/officeDocument/2006/relationships/hyperlink" Target="https://www.teamrankings.com/college-football/team/central-michigan-chippewas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auburn-tigers" TargetMode="External"/><Relationship Id="rId42" Type="http://schemas.openxmlformats.org/officeDocument/2006/relationships/hyperlink" Target="https://www.teamrankings.com/college-football/team/texas-longhorns" TargetMode="External"/><Relationship Id="rId41" Type="http://schemas.openxmlformats.org/officeDocument/2006/relationships/hyperlink" Target="https://www.teamrankings.com/college-football/team/missouri-tigers" TargetMode="External"/><Relationship Id="rId44" Type="http://schemas.openxmlformats.org/officeDocument/2006/relationships/hyperlink" Target="https://www.teamrankings.com/college-football/team/wyoming-cowboys" TargetMode="External"/><Relationship Id="rId43" Type="http://schemas.openxmlformats.org/officeDocument/2006/relationships/hyperlink" Target="https://www.teamrankings.com/college-football/team/utah-utes" TargetMode="External"/><Relationship Id="rId46" Type="http://schemas.openxmlformats.org/officeDocument/2006/relationships/hyperlink" Target="https://www.teamrankings.com/college-football/team/virginia-cavaliers" TargetMode="External"/><Relationship Id="rId45" Type="http://schemas.openxmlformats.org/officeDocument/2006/relationships/hyperlink" Target="https://www.teamrankings.com/college-football/team/san-diego-state-aztecs" TargetMode="External"/><Relationship Id="rId107" Type="http://schemas.openxmlformats.org/officeDocument/2006/relationships/hyperlink" Target="https://www.teamrankings.com/college-football/team/oregon-state-beavers" TargetMode="External"/><Relationship Id="rId106" Type="http://schemas.openxmlformats.org/officeDocument/2006/relationships/hyperlink" Target="https://www.teamrankings.com/college-football/team/colorado-state-rams" TargetMode="External"/><Relationship Id="rId105" Type="http://schemas.openxmlformats.org/officeDocument/2006/relationships/hyperlink" Target="https://www.teamrankings.com/college-football/team/troy-trojans" TargetMode="External"/><Relationship Id="rId104" Type="http://schemas.openxmlformats.org/officeDocument/2006/relationships/hyperlink" Target="https://www.teamrankings.com/college-football/team/army-black-knights" TargetMode="External"/><Relationship Id="rId109" Type="http://schemas.openxmlformats.org/officeDocument/2006/relationships/hyperlink" Target="https://www.teamrankings.com/college-football/team/colorado-buffaloes" TargetMode="External"/><Relationship Id="rId108" Type="http://schemas.openxmlformats.org/officeDocument/2006/relationships/hyperlink" Target="https://www.teamrankings.com/college-football/team/duke-blue-devils" TargetMode="External"/><Relationship Id="rId48" Type="http://schemas.openxmlformats.org/officeDocument/2006/relationships/hyperlink" Target="https://www.teamrankings.com/college-football/team/georgia-tech-yellow-jackets" TargetMode="External"/><Relationship Id="rId47" Type="http://schemas.openxmlformats.org/officeDocument/2006/relationships/hyperlink" Target="https://www.teamrankings.com/college-football/team/nc-state-wolfpack" TargetMode="External"/><Relationship Id="rId49" Type="http://schemas.openxmlformats.org/officeDocument/2006/relationships/hyperlink" Target="https://www.teamrankings.com/college-football/team/florida-international-panthers" TargetMode="External"/><Relationship Id="rId103" Type="http://schemas.openxmlformats.org/officeDocument/2006/relationships/hyperlink" Target="https://www.teamrankings.com/college-football/team/uab-blazers" TargetMode="External"/><Relationship Id="rId102" Type="http://schemas.openxmlformats.org/officeDocument/2006/relationships/hyperlink" Target="https://www.teamrankings.com/college-football/team/minnesota-golden-gophers" TargetMode="External"/><Relationship Id="rId101" Type="http://schemas.openxmlformats.org/officeDocument/2006/relationships/hyperlink" Target="https://www.teamrankings.com/college-football/team/buffalo-bulls" TargetMode="External"/><Relationship Id="rId100" Type="http://schemas.openxmlformats.org/officeDocument/2006/relationships/hyperlink" Target="https://www.teamrankings.com/college-football/team/central-michigan-chippewas" TargetMode="External"/><Relationship Id="rId31" Type="http://schemas.openxmlformats.org/officeDocument/2006/relationships/hyperlink" Target="https://www.teamrankings.com/college-football/team/nebraska-cornhuskers" TargetMode="External"/><Relationship Id="rId30" Type="http://schemas.openxmlformats.org/officeDocument/2006/relationships/hyperlink" Target="https://www.teamrankings.com/college-football/team/penn-state-nittany-lions" TargetMode="External"/><Relationship Id="rId33" Type="http://schemas.openxmlformats.org/officeDocument/2006/relationships/hyperlink" Target="https://www.teamrankings.com/college-football/team/florida-state-seminoles" TargetMode="External"/><Relationship Id="rId32" Type="http://schemas.openxmlformats.org/officeDocument/2006/relationships/hyperlink" Target="https://www.teamrankings.com/college-football/team/louisiana-ragin-cajuns" TargetMode="External"/><Relationship Id="rId35" Type="http://schemas.openxmlformats.org/officeDocument/2006/relationships/hyperlink" Target="https://www.teamrankings.com/college-football/team/rutgers-scarlet-knights" TargetMode="External"/><Relationship Id="rId34" Type="http://schemas.openxmlformats.org/officeDocument/2006/relationships/hyperlink" Target="https://www.teamrankings.com/college-football/team/temple-owls" TargetMode="External"/><Relationship Id="rId37" Type="http://schemas.openxmlformats.org/officeDocument/2006/relationships/hyperlink" Target="https://www.teamrankings.com/college-football/team/louisiana-tech-bulldogs" TargetMode="External"/><Relationship Id="rId36" Type="http://schemas.openxmlformats.org/officeDocument/2006/relationships/hyperlink" Target="https://www.teamrankings.com/college-football/team/tulsa-golden-hurricane" TargetMode="External"/><Relationship Id="rId39" Type="http://schemas.openxmlformats.org/officeDocument/2006/relationships/hyperlink" Target="https://www.teamrankings.com/college-football/team/notre-dame-fighting-irish" TargetMode="External"/><Relationship Id="rId38" Type="http://schemas.openxmlformats.org/officeDocument/2006/relationships/hyperlink" Target="https://www.teamrankings.com/college-football/team/smu-mustangs" TargetMode="External"/><Relationship Id="rId20" Type="http://schemas.openxmlformats.org/officeDocument/2006/relationships/hyperlink" Target="https://www.teamrankings.com/college-football/team/oklahoma-sooners" TargetMode="External"/><Relationship Id="rId22" Type="http://schemas.openxmlformats.org/officeDocument/2006/relationships/hyperlink" Target="https://www.teamrankings.com/college-football/team/cincinnati-bearcats" TargetMode="External"/><Relationship Id="rId21" Type="http://schemas.openxmlformats.org/officeDocument/2006/relationships/hyperlink" Target="https://www.teamrankings.com/college-football/team/baylor-bears" TargetMode="External"/><Relationship Id="rId24" Type="http://schemas.openxmlformats.org/officeDocument/2006/relationships/hyperlink" Target="https://www.teamrankings.com/college-football/team/byu-cougars" TargetMode="External"/><Relationship Id="rId23" Type="http://schemas.openxmlformats.org/officeDocument/2006/relationships/hyperlink" Target="https://www.teamrankings.com/college-football/team/arkansas-state-red-wolves" TargetMode="External"/><Relationship Id="rId129" Type="http://schemas.openxmlformats.org/officeDocument/2006/relationships/hyperlink" Target="https://www.teamrankings.com/college-football/team/coastal-carolina-chanticleers" TargetMode="External"/><Relationship Id="rId128" Type="http://schemas.openxmlformats.org/officeDocument/2006/relationships/hyperlink" Target="https://www.teamrankings.com/college-football/team/jacksonville-state-gamecocks" TargetMode="External"/><Relationship Id="rId127" Type="http://schemas.openxmlformats.org/officeDocument/2006/relationships/hyperlink" Target="https://www.teamrankings.com/college-football/team/liberty-flames" TargetMode="External"/><Relationship Id="rId126" Type="http://schemas.openxmlformats.org/officeDocument/2006/relationships/hyperlink" Target="https://www.teamrankings.com/college-football/team/georgia-southern-eagles" TargetMode="External"/><Relationship Id="rId26" Type="http://schemas.openxmlformats.org/officeDocument/2006/relationships/hyperlink" Target="https://www.teamrankings.com/college-football/team/ohio-bobcats" TargetMode="External"/><Relationship Id="rId121" Type="http://schemas.openxmlformats.org/officeDocument/2006/relationships/hyperlink" Target="https://www.teamrankings.com/college-football/team/massachusetts-minutemen" TargetMode="External"/><Relationship Id="rId25" Type="http://schemas.openxmlformats.org/officeDocument/2006/relationships/hyperlink" Target="https://www.teamrankings.com/college-football/team/west-virginia-mountaineers" TargetMode="External"/><Relationship Id="rId120" Type="http://schemas.openxmlformats.org/officeDocument/2006/relationships/hyperlink" Target="https://www.teamrankings.com/college-football/team/florida-atlantic-owls" TargetMode="External"/><Relationship Id="rId28" Type="http://schemas.openxmlformats.org/officeDocument/2006/relationships/hyperlink" Target="https://www.teamrankings.com/college-football/team/clemson-tigers" TargetMode="External"/><Relationship Id="rId27" Type="http://schemas.openxmlformats.org/officeDocument/2006/relationships/hyperlink" Target="https://www.teamrankings.com/college-football/team/georgia-bulldogs" TargetMode="External"/><Relationship Id="rId125" Type="http://schemas.openxmlformats.org/officeDocument/2006/relationships/hyperlink" Target="https://www.teamrankings.com/college-football/team/texas-state-bobcats" TargetMode="External"/><Relationship Id="rId29" Type="http://schemas.openxmlformats.org/officeDocument/2006/relationships/hyperlink" Target="https://www.teamrankings.com/college-football/team/toledo-rockets" TargetMode="External"/><Relationship Id="rId124" Type="http://schemas.openxmlformats.org/officeDocument/2006/relationships/hyperlink" Target="https://www.teamrankings.com/college-football/team/james-madison-dukes" TargetMode="External"/><Relationship Id="rId123" Type="http://schemas.openxmlformats.org/officeDocument/2006/relationships/hyperlink" Target="https://www.teamrankings.com/college-football/team/delaware-fightin-blue-hens" TargetMode="External"/><Relationship Id="rId122" Type="http://schemas.openxmlformats.org/officeDocument/2006/relationships/hyperlink" Target="https://www.teamrankings.com/college-football/team/app-state-mountaineers" TargetMode="External"/><Relationship Id="rId95" Type="http://schemas.openxmlformats.org/officeDocument/2006/relationships/hyperlink" Target="https://www.teamrankings.com/college-football/team/washington-state-cougars" TargetMode="External"/><Relationship Id="rId94" Type="http://schemas.openxmlformats.org/officeDocument/2006/relationships/hyperlink" Target="https://www.teamrankings.com/college-football/team/ul-monroe-warhawks" TargetMode="External"/><Relationship Id="rId97" Type="http://schemas.openxmlformats.org/officeDocument/2006/relationships/hyperlink" Target="https://www.teamrankings.com/college-football/team/boston-college-eagles" TargetMode="External"/><Relationship Id="rId96" Type="http://schemas.openxmlformats.org/officeDocument/2006/relationships/hyperlink" Target="https://www.teamrankings.com/college-football/team/arizona-wildcats" TargetMode="External"/><Relationship Id="rId11" Type="http://schemas.openxmlformats.org/officeDocument/2006/relationships/hyperlink" Target="https://www.teamrankings.com/college-football/team/michigan-wolverines" TargetMode="External"/><Relationship Id="rId99" Type="http://schemas.openxmlformats.org/officeDocument/2006/relationships/hyperlink" Target="https://www.teamrankings.com/college-football/team/new-mexico-state-aggies" TargetMode="External"/><Relationship Id="rId10" Type="http://schemas.openxmlformats.org/officeDocument/2006/relationships/hyperlink" Target="https://www.teamrankings.com/college-football/team/arkansas-razorbacks" TargetMode="External"/><Relationship Id="rId98" Type="http://schemas.openxmlformats.org/officeDocument/2006/relationships/hyperlink" Target="https://www.teamrankings.com/college-football/team/fresno-state-bulldogs" TargetMode="External"/><Relationship Id="rId13" Type="http://schemas.openxmlformats.org/officeDocument/2006/relationships/hyperlink" Target="https://www.teamrankings.com/college-football/team/stanford-cardinal" TargetMode="External"/><Relationship Id="rId12" Type="http://schemas.openxmlformats.org/officeDocument/2006/relationships/hyperlink" Target="https://www.teamrankings.com/college-football/team/tcu-horned-frogs" TargetMode="External"/><Relationship Id="rId91" Type="http://schemas.openxmlformats.org/officeDocument/2006/relationships/hyperlink" Target="https://www.teamrankings.com/college-football/team/syracuse-orange" TargetMode="External"/><Relationship Id="rId90" Type="http://schemas.openxmlformats.org/officeDocument/2006/relationships/hyperlink" Target="https://www.teamrankings.com/college-football/team/connecticut-huskies" TargetMode="External"/><Relationship Id="rId93" Type="http://schemas.openxmlformats.org/officeDocument/2006/relationships/hyperlink" Target="https://www.teamrankings.com/college-football/team/rice-owls" TargetMode="External"/><Relationship Id="rId92" Type="http://schemas.openxmlformats.org/officeDocument/2006/relationships/hyperlink" Target="https://www.teamrankings.com/college-football/team/miami-oh-redhawks" TargetMode="External"/><Relationship Id="rId118" Type="http://schemas.openxmlformats.org/officeDocument/2006/relationships/hyperlink" Target="https://www.teamrankings.com/college-football/team/indiana-hoosiers" TargetMode="External"/><Relationship Id="rId117" Type="http://schemas.openxmlformats.org/officeDocument/2006/relationships/hyperlink" Target="https://www.teamrankings.com/college-football/team/akron-zips" TargetMode="External"/><Relationship Id="rId116" Type="http://schemas.openxmlformats.org/officeDocument/2006/relationships/hyperlink" Target="https://www.teamrankings.com/college-football/team/tulane-green-wave" TargetMode="External"/><Relationship Id="rId115" Type="http://schemas.openxmlformats.org/officeDocument/2006/relationships/hyperlink" Target="https://www.teamrankings.com/college-football/team/maryland-terrapins" TargetMode="External"/><Relationship Id="rId119" Type="http://schemas.openxmlformats.org/officeDocument/2006/relationships/hyperlink" Target="https://www.teamrankings.com/college-football/team/new-mexico-lobos" TargetMode="External"/><Relationship Id="rId15" Type="http://schemas.openxmlformats.org/officeDocument/2006/relationships/hyperlink" Target="https://www.teamrankings.com/college-football/team/northern-illinois-huskies" TargetMode="External"/><Relationship Id="rId110" Type="http://schemas.openxmlformats.org/officeDocument/2006/relationships/hyperlink" Target="https://www.teamrankings.com/college-football/team/mississippi-rebels" TargetMode="External"/><Relationship Id="rId14" Type="http://schemas.openxmlformats.org/officeDocument/2006/relationships/hyperlink" Target="https://www.teamrankings.com/college-football/team/usc-trojans" TargetMode="External"/><Relationship Id="rId17" Type="http://schemas.openxmlformats.org/officeDocument/2006/relationships/hyperlink" Target="https://www.teamrankings.com/college-football/team/michigan-state-spartans" TargetMode="External"/><Relationship Id="rId16" Type="http://schemas.openxmlformats.org/officeDocument/2006/relationships/hyperlink" Target="https://www.teamrankings.com/college-football/team/wisconsin-badgers" TargetMode="External"/><Relationship Id="rId19" Type="http://schemas.openxmlformats.org/officeDocument/2006/relationships/hyperlink" Target="https://www.teamrankings.com/college-football/team/kansas-state-wildcats" TargetMode="External"/><Relationship Id="rId114" Type="http://schemas.openxmlformats.org/officeDocument/2006/relationships/hyperlink" Target="https://www.teamrankings.com/college-football/team/unlv-rebels" TargetMode="External"/><Relationship Id="rId18" Type="http://schemas.openxmlformats.org/officeDocument/2006/relationships/hyperlink" Target="https://www.teamrankings.com/college-football/team/virginia-tech-hokies" TargetMode="External"/><Relationship Id="rId113" Type="http://schemas.openxmlformats.org/officeDocument/2006/relationships/hyperlink" Target="https://www.teamrankings.com/college-football/team/middle-tennessee-blue-raiders" TargetMode="External"/><Relationship Id="rId112" Type="http://schemas.openxmlformats.org/officeDocument/2006/relationships/hyperlink" Target="https://www.teamrankings.com/college-football/team/memphis-tigers" TargetMode="External"/><Relationship Id="rId111" Type="http://schemas.openxmlformats.org/officeDocument/2006/relationships/hyperlink" Target="https://www.teamrankings.com/college-football/team/kansas-jayhawks" TargetMode="External"/><Relationship Id="rId84" Type="http://schemas.openxmlformats.org/officeDocument/2006/relationships/hyperlink" Target="https://www.teamrankings.com/college-football/team/kentucky-wildcats" TargetMode="External"/><Relationship Id="rId83" Type="http://schemas.openxmlformats.org/officeDocument/2006/relationships/hyperlink" Target="https://www.teamrankings.com/college-football/team/navy-midshipmen" TargetMode="External"/><Relationship Id="rId86" Type="http://schemas.openxmlformats.org/officeDocument/2006/relationships/hyperlink" Target="https://www.teamrankings.com/college-football/team/texas-tech-red-raiders" TargetMode="External"/><Relationship Id="rId85" Type="http://schemas.openxmlformats.org/officeDocument/2006/relationships/hyperlink" Target="https://www.teamrankings.com/college-football/team/tennessee-volunteers" TargetMode="External"/><Relationship Id="rId88" Type="http://schemas.openxmlformats.org/officeDocument/2006/relationships/hyperlink" Target="https://www.teamrankings.com/college-football/team/south-florida-bulls" TargetMode="External"/><Relationship Id="rId87" Type="http://schemas.openxmlformats.org/officeDocument/2006/relationships/hyperlink" Target="https://www.teamrankings.com/college-football/team/east-carolina-pirates" TargetMode="External"/><Relationship Id="rId89" Type="http://schemas.openxmlformats.org/officeDocument/2006/relationships/hyperlink" Target="https://www.teamrankings.com/college-football/team/north-texas-mean-green" TargetMode="External"/><Relationship Id="rId80" Type="http://schemas.openxmlformats.org/officeDocument/2006/relationships/hyperlink" Target="https://www.teamrankings.com/college-football/team/kent-state-golden-flashes" TargetMode="External"/><Relationship Id="rId82" Type="http://schemas.openxmlformats.org/officeDocument/2006/relationships/hyperlink" Target="https://www.teamrankings.com/college-football/team/utep-miners" TargetMode="External"/><Relationship Id="rId81" Type="http://schemas.openxmlformats.org/officeDocument/2006/relationships/hyperlink" Target="https://www.teamrankings.com/college-football/team/san-jose-state-spartans" TargetMode="External"/><Relationship Id="rId1" Type="http://schemas.openxmlformats.org/officeDocument/2006/relationships/hyperlink" Target="https://www.teamrankings.com/college-football/team/sam-houston-bearkats" TargetMode="External"/><Relationship Id="rId2" Type="http://schemas.openxmlformats.org/officeDocument/2006/relationships/hyperlink" Target="https://www.teamrankings.com/college-football/team/louisiana-state-tigers" TargetMode="External"/><Relationship Id="rId3" Type="http://schemas.openxmlformats.org/officeDocument/2006/relationships/hyperlink" Target="https://www.teamrankings.com/college-football/team/houston-cougars" TargetMode="External"/><Relationship Id="rId4" Type="http://schemas.openxmlformats.org/officeDocument/2006/relationships/hyperlink" Target="https://www.teamrankings.com/college-football/team/boise-state-broncos" TargetMode="External"/><Relationship Id="rId9" Type="http://schemas.openxmlformats.org/officeDocument/2006/relationships/hyperlink" Target="https://www.teamrankings.com/college-football/team/south-carolina-gamecocks" TargetMode="External"/><Relationship Id="rId5" Type="http://schemas.openxmlformats.org/officeDocument/2006/relationships/hyperlink" Target="https://www.teamrankings.com/college-football/team/alabama-crimson-tide" TargetMode="External"/><Relationship Id="rId6" Type="http://schemas.openxmlformats.org/officeDocument/2006/relationships/hyperlink" Target="https://www.teamrankings.com/college-football/team/oklahoma-state-cowboys" TargetMode="External"/><Relationship Id="rId7" Type="http://schemas.openxmlformats.org/officeDocument/2006/relationships/hyperlink" Target="https://www.teamrankings.com/college-football/team/southern-miss-golden-eagles" TargetMode="External"/><Relationship Id="rId8" Type="http://schemas.openxmlformats.org/officeDocument/2006/relationships/hyperlink" Target="https://www.teamrankings.com/college-football/team/oregon-ducks" TargetMode="External"/><Relationship Id="rId73" Type="http://schemas.openxmlformats.org/officeDocument/2006/relationships/hyperlink" Target="https://www.teamrankings.com/college-football/team/iowa-state-cyclones" TargetMode="External"/><Relationship Id="rId72" Type="http://schemas.openxmlformats.org/officeDocument/2006/relationships/hyperlink" Target="https://www.teamrankings.com/college-football/team/northwestern-wildcats" TargetMode="External"/><Relationship Id="rId75" Type="http://schemas.openxmlformats.org/officeDocument/2006/relationships/hyperlink" Target="https://www.teamrankings.com/college-football/team/wake-forest-demon-deacons" TargetMode="External"/><Relationship Id="rId74" Type="http://schemas.openxmlformats.org/officeDocument/2006/relationships/hyperlink" Target="https://www.teamrankings.com/college-football/team/arizona-state-sun-devils" TargetMode="External"/><Relationship Id="rId77" Type="http://schemas.openxmlformats.org/officeDocument/2006/relationships/hyperlink" Target="https://www.teamrankings.com/college-football/team/ucla-bruins" TargetMode="External"/><Relationship Id="rId76" Type="http://schemas.openxmlformats.org/officeDocument/2006/relationships/hyperlink" Target="https://www.teamrankings.com/college-football/team/pittsburgh-panthers" TargetMode="External"/><Relationship Id="rId79" Type="http://schemas.openxmlformats.org/officeDocument/2006/relationships/hyperlink" Target="https://www.teamrankings.com/college-football/team/ucf-knights" TargetMode="External"/><Relationship Id="rId78" Type="http://schemas.openxmlformats.org/officeDocument/2006/relationships/hyperlink" Target="https://www.teamrankings.com/college-football/team/bowling-green-falcons" TargetMode="External"/><Relationship Id="rId71" Type="http://schemas.openxmlformats.org/officeDocument/2006/relationships/hyperlink" Target="https://www.teamrankings.com/college-football/team/ohio-state-buckeyes" TargetMode="External"/><Relationship Id="rId70" Type="http://schemas.openxmlformats.org/officeDocument/2006/relationships/hyperlink" Target="https://www.teamrankings.com/college-football/team/vanderbilt-commodores" TargetMode="External"/><Relationship Id="rId132" Type="http://schemas.openxmlformats.org/officeDocument/2006/relationships/hyperlink" Target="https://www.teamrankings.com/college-football/team/south-alabama-jaguars" TargetMode="External"/><Relationship Id="rId131" Type="http://schemas.openxmlformats.org/officeDocument/2006/relationships/hyperlink" Target="https://www.teamrankings.com/college-football/team/georgia-state-panthers" TargetMode="External"/><Relationship Id="rId130" Type="http://schemas.openxmlformats.org/officeDocument/2006/relationships/hyperlink" Target="https://www.teamrankings.com/college-football/team/missouri-state-bears" TargetMode="External"/><Relationship Id="rId135" Type="http://schemas.openxmlformats.org/officeDocument/2006/relationships/drawing" Target="../drawings/drawing15.xml"/><Relationship Id="rId134" Type="http://schemas.openxmlformats.org/officeDocument/2006/relationships/hyperlink" Target="https://www.teamrankings.com/college-football/team/georgia-state-panthe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air-force-falcons" TargetMode="External"/><Relationship Id="rId61" Type="http://schemas.openxmlformats.org/officeDocument/2006/relationships/hyperlink" Target="https://www.teamrankings.com/college-football/team/utah-state-aggies" TargetMode="External"/><Relationship Id="rId64" Type="http://schemas.openxmlformats.org/officeDocument/2006/relationships/hyperlink" Target="https://www.teamrankings.com/college-football/team/california-golden-bears" TargetMode="External"/><Relationship Id="rId63" Type="http://schemas.openxmlformats.org/officeDocument/2006/relationships/hyperlink" Target="https://www.teamrankings.com/college-football/team/washington-huskies" TargetMode="External"/><Relationship Id="rId66" Type="http://schemas.openxmlformats.org/officeDocument/2006/relationships/hyperlink" Target="https://www.teamrankings.com/college-football/team/eastern-michigan-eagles" TargetMode="External"/><Relationship Id="rId65" Type="http://schemas.openxmlformats.org/officeDocument/2006/relationships/hyperlink" Target="https://www.teamrankings.com/college-football/team/north-carolina-tar-heels" TargetMode="External"/><Relationship Id="rId68" Type="http://schemas.openxmlformats.org/officeDocument/2006/relationships/hyperlink" Target="https://www.teamrankings.com/college-football/team/miami-hurricanes" TargetMode="External"/><Relationship Id="rId67" Type="http://schemas.openxmlformats.org/officeDocument/2006/relationships/hyperlink" Target="https://www.teamrankings.com/college-football/team/ball-state-cardinals" TargetMode="External"/><Relationship Id="rId60" Type="http://schemas.openxmlformats.org/officeDocument/2006/relationships/hyperlink" Target="https://www.teamrankings.com/college-football/team/louisville-cardinals" TargetMode="External"/><Relationship Id="rId69" Type="http://schemas.openxmlformats.org/officeDocument/2006/relationships/hyperlink" Target="https://www.teamrankings.com/college-football/team/hawaii-rainbow-warriors" TargetMode="External"/><Relationship Id="rId51" Type="http://schemas.openxmlformats.org/officeDocument/2006/relationships/hyperlink" Target="https://www.teamrankings.com/college-football/team/western-michigan-broncos" TargetMode="External"/><Relationship Id="rId50" Type="http://schemas.openxmlformats.org/officeDocument/2006/relationships/hyperlink" Target="https://www.teamrankings.com/college-football/team/western-kentucky-hilltoppers" TargetMode="External"/><Relationship Id="rId53" Type="http://schemas.openxmlformats.org/officeDocument/2006/relationships/hyperlink" Target="https://www.teamrankings.com/college-football/team/nevada-wolf-pack" TargetMode="External"/><Relationship Id="rId52" Type="http://schemas.openxmlformats.org/officeDocument/2006/relationships/hyperlink" Target="https://www.teamrankings.com/college-football/team/marshall-thundering-herd" TargetMode="External"/><Relationship Id="rId55" Type="http://schemas.openxmlformats.org/officeDocument/2006/relationships/hyperlink" Target="https://www.teamrankings.com/college-football/team/mississippi-state-bulldogs" TargetMode="External"/><Relationship Id="rId54" Type="http://schemas.openxmlformats.org/officeDocument/2006/relationships/hyperlink" Target="https://www.teamrankings.com/college-football/team/florida-gators" TargetMode="External"/><Relationship Id="rId57" Type="http://schemas.openxmlformats.org/officeDocument/2006/relationships/hyperlink" Target="https://www.teamrankings.com/college-football/team/illinois-fighting-illini" TargetMode="External"/><Relationship Id="rId56" Type="http://schemas.openxmlformats.org/officeDocument/2006/relationships/hyperlink" Target="https://www.teamrankings.com/college-football/team/purdue-boilermakers" TargetMode="External"/><Relationship Id="rId59" Type="http://schemas.openxmlformats.org/officeDocument/2006/relationships/hyperlink" Target="https://www.teamrankings.com/college-football/team/texas-am-aggies" TargetMode="External"/><Relationship Id="rId58" Type="http://schemas.openxmlformats.org/officeDocument/2006/relationships/hyperlink" Target="https://www.teamrankings.com/college-football/team/iowa-hawkeyes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amrankings.com/college-football/team/fresno-state-bulldogs" TargetMode="External"/><Relationship Id="rId42" Type="http://schemas.openxmlformats.org/officeDocument/2006/relationships/hyperlink" Target="https://www.teamrankings.com/college-football/team/florida-gators" TargetMode="External"/><Relationship Id="rId41" Type="http://schemas.openxmlformats.org/officeDocument/2006/relationships/hyperlink" Target="https://www.teamrankings.com/college-football/team/notre-dame-fighting-irish" TargetMode="External"/><Relationship Id="rId44" Type="http://schemas.openxmlformats.org/officeDocument/2006/relationships/hyperlink" Target="https://www.teamrankings.com/college-football/team/texas-tech-red-raiders" TargetMode="External"/><Relationship Id="rId43" Type="http://schemas.openxmlformats.org/officeDocument/2006/relationships/hyperlink" Target="https://www.teamrankings.com/college-football/team/iowa-hawkeyes" TargetMode="External"/><Relationship Id="rId46" Type="http://schemas.openxmlformats.org/officeDocument/2006/relationships/hyperlink" Target="https://www.teamrankings.com/college-football/team/southern-miss-golden-eagles" TargetMode="External"/><Relationship Id="rId45" Type="http://schemas.openxmlformats.org/officeDocument/2006/relationships/hyperlink" Target="https://www.teamrankings.com/college-football/team/south-florida-bulls" TargetMode="External"/><Relationship Id="rId107" Type="http://schemas.openxmlformats.org/officeDocument/2006/relationships/hyperlink" Target="https://www.teamrankings.com/college-football/team/colorado-state-rams" TargetMode="External"/><Relationship Id="rId106" Type="http://schemas.openxmlformats.org/officeDocument/2006/relationships/hyperlink" Target="https://www.teamrankings.com/college-football/team/north-texas-mean-green" TargetMode="External"/><Relationship Id="rId105" Type="http://schemas.openxmlformats.org/officeDocument/2006/relationships/hyperlink" Target="https://www.teamrankings.com/college-football/team/louisiana-ragin-cajuns" TargetMode="External"/><Relationship Id="rId104" Type="http://schemas.openxmlformats.org/officeDocument/2006/relationships/hyperlink" Target="https://www.teamrankings.com/college-football/team/kansas-jayhawks" TargetMode="External"/><Relationship Id="rId109" Type="http://schemas.openxmlformats.org/officeDocument/2006/relationships/hyperlink" Target="https://www.teamrankings.com/college-football/team/wake-forest-demon-deacons" TargetMode="External"/><Relationship Id="rId108" Type="http://schemas.openxmlformats.org/officeDocument/2006/relationships/hyperlink" Target="https://www.teamrankings.com/college-football/team/wyoming-cowboys" TargetMode="External"/><Relationship Id="rId48" Type="http://schemas.openxmlformats.org/officeDocument/2006/relationships/hyperlink" Target="https://www.teamrankings.com/college-football/team/usc-trojans" TargetMode="External"/><Relationship Id="rId47" Type="http://schemas.openxmlformats.org/officeDocument/2006/relationships/hyperlink" Target="https://www.teamrankings.com/college-football/team/troy-trojans" TargetMode="External"/><Relationship Id="rId49" Type="http://schemas.openxmlformats.org/officeDocument/2006/relationships/hyperlink" Target="https://www.teamrankings.com/college-football/team/north-carolina-tar-heels" TargetMode="External"/><Relationship Id="rId103" Type="http://schemas.openxmlformats.org/officeDocument/2006/relationships/hyperlink" Target="https://www.teamrankings.com/college-football/team/minnesota-golden-gophers" TargetMode="External"/><Relationship Id="rId102" Type="http://schemas.openxmlformats.org/officeDocument/2006/relationships/hyperlink" Target="https://www.teamrankings.com/college-football/team/central-michigan-chippewas" TargetMode="External"/><Relationship Id="rId101" Type="http://schemas.openxmlformats.org/officeDocument/2006/relationships/hyperlink" Target="https://www.teamrankings.com/college-football/team/florida-atlantic-owls" TargetMode="External"/><Relationship Id="rId100" Type="http://schemas.openxmlformats.org/officeDocument/2006/relationships/hyperlink" Target="https://www.teamrankings.com/college-football/team/rutgers-scarlet-knights" TargetMode="External"/><Relationship Id="rId31" Type="http://schemas.openxmlformats.org/officeDocument/2006/relationships/hyperlink" Target="https://www.teamrankings.com/college-football/team/air-force-falcons" TargetMode="External"/><Relationship Id="rId30" Type="http://schemas.openxmlformats.org/officeDocument/2006/relationships/hyperlink" Target="https://www.teamrankings.com/college-football/team/texas-am-aggies" TargetMode="External"/><Relationship Id="rId33" Type="http://schemas.openxmlformats.org/officeDocument/2006/relationships/hyperlink" Target="https://www.teamrankings.com/college-football/team/nc-state-wolfpack" TargetMode="External"/><Relationship Id="rId32" Type="http://schemas.openxmlformats.org/officeDocument/2006/relationships/hyperlink" Target="https://www.teamrankings.com/college-football/team/san-diego-state-aztecs" TargetMode="External"/><Relationship Id="rId35" Type="http://schemas.openxmlformats.org/officeDocument/2006/relationships/hyperlink" Target="https://www.teamrankings.com/college-football/team/west-virginia-mountaineers" TargetMode="External"/><Relationship Id="rId34" Type="http://schemas.openxmlformats.org/officeDocument/2006/relationships/hyperlink" Target="https://www.teamrankings.com/college-football/team/maryland-terrapins" TargetMode="External"/><Relationship Id="rId37" Type="http://schemas.openxmlformats.org/officeDocument/2006/relationships/hyperlink" Target="https://www.teamrankings.com/college-football/team/south-carolina-gamecocks" TargetMode="External"/><Relationship Id="rId36" Type="http://schemas.openxmlformats.org/officeDocument/2006/relationships/hyperlink" Target="https://www.teamrankings.com/college-football/team/temple-owls" TargetMode="External"/><Relationship Id="rId39" Type="http://schemas.openxmlformats.org/officeDocument/2006/relationships/hyperlink" Target="https://www.teamrankings.com/college-football/team/ohio-bobcats" TargetMode="External"/><Relationship Id="rId38" Type="http://schemas.openxmlformats.org/officeDocument/2006/relationships/hyperlink" Target="https://www.teamrankings.com/college-football/team/toledo-rockets" TargetMode="External"/><Relationship Id="rId20" Type="http://schemas.openxmlformats.org/officeDocument/2006/relationships/hyperlink" Target="https://www.teamrankings.com/college-football/team/alabama-crimson-tide" TargetMode="External"/><Relationship Id="rId22" Type="http://schemas.openxmlformats.org/officeDocument/2006/relationships/hyperlink" Target="https://www.teamrankings.com/college-football/team/missouri-tigers" TargetMode="External"/><Relationship Id="rId21" Type="http://schemas.openxmlformats.org/officeDocument/2006/relationships/hyperlink" Target="https://www.teamrankings.com/college-football/team/arkansas-razorbacks" TargetMode="External"/><Relationship Id="rId24" Type="http://schemas.openxmlformats.org/officeDocument/2006/relationships/hyperlink" Target="https://www.teamrankings.com/college-football/team/miami-oh-redhawks" TargetMode="External"/><Relationship Id="rId23" Type="http://schemas.openxmlformats.org/officeDocument/2006/relationships/hyperlink" Target="https://www.teamrankings.com/college-football/team/utah-utes" TargetMode="External"/><Relationship Id="rId129" Type="http://schemas.openxmlformats.org/officeDocument/2006/relationships/hyperlink" Target="https://www.teamrankings.com/college-football/team/missouri-state-bears" TargetMode="External"/><Relationship Id="rId128" Type="http://schemas.openxmlformats.org/officeDocument/2006/relationships/hyperlink" Target="https://www.teamrankings.com/college-football/team/coastal-carolina-chanticleers" TargetMode="External"/><Relationship Id="rId127" Type="http://schemas.openxmlformats.org/officeDocument/2006/relationships/hyperlink" Target="https://www.teamrankings.com/college-football/team/sam-houston-bearkats" TargetMode="External"/><Relationship Id="rId126" Type="http://schemas.openxmlformats.org/officeDocument/2006/relationships/hyperlink" Target="https://www.teamrankings.com/college-football/team/georgia-southern-eagles" TargetMode="External"/><Relationship Id="rId26" Type="http://schemas.openxmlformats.org/officeDocument/2006/relationships/hyperlink" Target="https://www.teamrankings.com/college-football/team/nebraska-cornhuskers" TargetMode="External"/><Relationship Id="rId121" Type="http://schemas.openxmlformats.org/officeDocument/2006/relationships/hyperlink" Target="https://www.teamrankings.com/college-football/team/new-mexico-lobos" TargetMode="External"/><Relationship Id="rId25" Type="http://schemas.openxmlformats.org/officeDocument/2006/relationships/hyperlink" Target="https://www.teamrankings.com/college-football/team/hawaii-rainbow-warriors" TargetMode="External"/><Relationship Id="rId120" Type="http://schemas.openxmlformats.org/officeDocument/2006/relationships/hyperlink" Target="https://www.teamrankings.com/college-football/team/memphis-tigers" TargetMode="External"/><Relationship Id="rId28" Type="http://schemas.openxmlformats.org/officeDocument/2006/relationships/hyperlink" Target="https://www.teamrankings.com/college-football/team/navy-midshipmen" TargetMode="External"/><Relationship Id="rId27" Type="http://schemas.openxmlformats.org/officeDocument/2006/relationships/hyperlink" Target="https://www.teamrankings.com/college-football/team/florida-state-seminoles" TargetMode="External"/><Relationship Id="rId125" Type="http://schemas.openxmlformats.org/officeDocument/2006/relationships/hyperlink" Target="https://www.teamrankings.com/college-football/team/texas-state-bobcats" TargetMode="External"/><Relationship Id="rId29" Type="http://schemas.openxmlformats.org/officeDocument/2006/relationships/hyperlink" Target="https://www.teamrankings.com/college-football/team/mississippi-state-bulldogs" TargetMode="External"/><Relationship Id="rId124" Type="http://schemas.openxmlformats.org/officeDocument/2006/relationships/hyperlink" Target="https://www.teamrankings.com/college-football/team/app-state-mountaineers" TargetMode="External"/><Relationship Id="rId123" Type="http://schemas.openxmlformats.org/officeDocument/2006/relationships/hyperlink" Target="https://www.teamrankings.com/college-football/team/massachusetts-minutemen" TargetMode="External"/><Relationship Id="rId122" Type="http://schemas.openxmlformats.org/officeDocument/2006/relationships/hyperlink" Target="https://www.teamrankings.com/college-football/team/san-jose-state-spartans" TargetMode="External"/><Relationship Id="rId95" Type="http://schemas.openxmlformats.org/officeDocument/2006/relationships/hyperlink" Target="https://www.teamrankings.com/college-football/team/tulane-green-wave" TargetMode="External"/><Relationship Id="rId94" Type="http://schemas.openxmlformats.org/officeDocument/2006/relationships/hyperlink" Target="https://www.teamrankings.com/college-football/team/cincinnati-bearcats" TargetMode="External"/><Relationship Id="rId97" Type="http://schemas.openxmlformats.org/officeDocument/2006/relationships/hyperlink" Target="https://www.teamrankings.com/college-football/team/arkansas-state-red-wolves" TargetMode="External"/><Relationship Id="rId96" Type="http://schemas.openxmlformats.org/officeDocument/2006/relationships/hyperlink" Target="https://www.teamrankings.com/college-football/team/utah-state-aggies" TargetMode="External"/><Relationship Id="rId11" Type="http://schemas.openxmlformats.org/officeDocument/2006/relationships/hyperlink" Target="https://www.teamrankings.com/college-football/team/oklahoma-sooners" TargetMode="External"/><Relationship Id="rId99" Type="http://schemas.openxmlformats.org/officeDocument/2006/relationships/hyperlink" Target="https://www.teamrankings.com/college-football/team/virginia-cavaliers" TargetMode="External"/><Relationship Id="rId10" Type="http://schemas.openxmlformats.org/officeDocument/2006/relationships/hyperlink" Target="https://www.teamrankings.com/college-football/team/oregon-ducks" TargetMode="External"/><Relationship Id="rId98" Type="http://schemas.openxmlformats.org/officeDocument/2006/relationships/hyperlink" Target="https://www.teamrankings.com/college-football/team/ucla-bruins" TargetMode="External"/><Relationship Id="rId13" Type="http://schemas.openxmlformats.org/officeDocument/2006/relationships/hyperlink" Target="https://www.teamrankings.com/college-football/team/wisconsin-badgers" TargetMode="External"/><Relationship Id="rId12" Type="http://schemas.openxmlformats.org/officeDocument/2006/relationships/hyperlink" Target="https://www.teamrankings.com/college-football/team/louisiana-state-tigers" TargetMode="External"/><Relationship Id="rId91" Type="http://schemas.openxmlformats.org/officeDocument/2006/relationships/hyperlink" Target="https://www.teamrankings.com/college-football/team/mississippi-rebels" TargetMode="External"/><Relationship Id="rId90" Type="http://schemas.openxmlformats.org/officeDocument/2006/relationships/hyperlink" Target="https://www.teamrankings.com/college-football/team/rice-owls" TargetMode="External"/><Relationship Id="rId93" Type="http://schemas.openxmlformats.org/officeDocument/2006/relationships/hyperlink" Target="https://www.teamrankings.com/college-football/team/uab-blazers" TargetMode="External"/><Relationship Id="rId92" Type="http://schemas.openxmlformats.org/officeDocument/2006/relationships/hyperlink" Target="https://www.teamrankings.com/college-football/team/purdue-boilermakers" TargetMode="External"/><Relationship Id="rId118" Type="http://schemas.openxmlformats.org/officeDocument/2006/relationships/hyperlink" Target="https://www.teamrankings.com/college-football/team/unlv-rebels" TargetMode="External"/><Relationship Id="rId117" Type="http://schemas.openxmlformats.org/officeDocument/2006/relationships/hyperlink" Target="https://www.teamrankings.com/college-football/team/western-kentucky-hilltoppers" TargetMode="External"/><Relationship Id="rId116" Type="http://schemas.openxmlformats.org/officeDocument/2006/relationships/hyperlink" Target="https://www.teamrankings.com/college-football/team/washington-state-cougars" TargetMode="External"/><Relationship Id="rId115" Type="http://schemas.openxmlformats.org/officeDocument/2006/relationships/hyperlink" Target="https://www.teamrankings.com/college-football/team/new-mexico-state-aggies" TargetMode="External"/><Relationship Id="rId119" Type="http://schemas.openxmlformats.org/officeDocument/2006/relationships/hyperlink" Target="https://www.teamrankings.com/college-football/team/akron-zips" TargetMode="External"/><Relationship Id="rId15" Type="http://schemas.openxmlformats.org/officeDocument/2006/relationships/hyperlink" Target="https://www.teamrankings.com/college-football/team/oklahoma-state-cowboys" TargetMode="External"/><Relationship Id="rId110" Type="http://schemas.openxmlformats.org/officeDocument/2006/relationships/hyperlink" Target="https://www.teamrankings.com/college-football/team/duke-blue-devils" TargetMode="External"/><Relationship Id="rId14" Type="http://schemas.openxmlformats.org/officeDocument/2006/relationships/hyperlink" Target="https://www.teamrankings.com/college-football/team/michigan-state-spartans" TargetMode="External"/><Relationship Id="rId17" Type="http://schemas.openxmlformats.org/officeDocument/2006/relationships/hyperlink" Target="https://www.teamrankings.com/college-football/team/ucf-knights" TargetMode="External"/><Relationship Id="rId16" Type="http://schemas.openxmlformats.org/officeDocument/2006/relationships/hyperlink" Target="https://www.teamrankings.com/college-football/team/northern-illinois-huskies" TargetMode="External"/><Relationship Id="rId19" Type="http://schemas.openxmlformats.org/officeDocument/2006/relationships/hyperlink" Target="https://www.teamrankings.com/college-football/team/tulsa-golden-hurricane" TargetMode="External"/><Relationship Id="rId114" Type="http://schemas.openxmlformats.org/officeDocument/2006/relationships/hyperlink" Target="https://www.teamrankings.com/college-football/team/vanderbilt-commodores" TargetMode="External"/><Relationship Id="rId18" Type="http://schemas.openxmlformats.org/officeDocument/2006/relationships/hyperlink" Target="https://www.teamrankings.com/college-football/team/virginia-tech-hokies" TargetMode="External"/><Relationship Id="rId113" Type="http://schemas.openxmlformats.org/officeDocument/2006/relationships/hyperlink" Target="https://www.teamrankings.com/college-football/team/buffalo-bulls" TargetMode="External"/><Relationship Id="rId112" Type="http://schemas.openxmlformats.org/officeDocument/2006/relationships/hyperlink" Target="https://www.teamrankings.com/college-football/team/bowling-green-falcons" TargetMode="External"/><Relationship Id="rId111" Type="http://schemas.openxmlformats.org/officeDocument/2006/relationships/hyperlink" Target="https://www.teamrankings.com/college-football/team/eastern-michigan-eagles" TargetMode="External"/><Relationship Id="rId84" Type="http://schemas.openxmlformats.org/officeDocument/2006/relationships/hyperlink" Target="https://www.teamrankings.com/college-football/team/texas-longhorns" TargetMode="External"/><Relationship Id="rId83" Type="http://schemas.openxmlformats.org/officeDocument/2006/relationships/hyperlink" Target="https://www.teamrankings.com/college-football/team/colorado-buffaloes" TargetMode="External"/><Relationship Id="rId86" Type="http://schemas.openxmlformats.org/officeDocument/2006/relationships/hyperlink" Target="https://www.teamrankings.com/college-football/team/ul-monroe-warhawks" TargetMode="External"/><Relationship Id="rId85" Type="http://schemas.openxmlformats.org/officeDocument/2006/relationships/hyperlink" Target="https://www.teamrankings.com/college-football/team/houston-cougars" TargetMode="External"/><Relationship Id="rId88" Type="http://schemas.openxmlformats.org/officeDocument/2006/relationships/hyperlink" Target="https://www.teamrankings.com/college-football/team/oregon-state-beavers" TargetMode="External"/><Relationship Id="rId87" Type="http://schemas.openxmlformats.org/officeDocument/2006/relationships/hyperlink" Target="https://www.teamrankings.com/college-football/team/california-golden-bears" TargetMode="External"/><Relationship Id="rId89" Type="http://schemas.openxmlformats.org/officeDocument/2006/relationships/hyperlink" Target="https://www.teamrankings.com/college-football/team/ball-state-cardinals" TargetMode="External"/><Relationship Id="rId80" Type="http://schemas.openxmlformats.org/officeDocument/2006/relationships/hyperlink" Target="https://www.teamrankings.com/college-football/team/louisiana-tech-bulldogs" TargetMode="External"/><Relationship Id="rId82" Type="http://schemas.openxmlformats.org/officeDocument/2006/relationships/hyperlink" Target="https://www.teamrankings.com/college-football/team/iowa-state-cyclones" TargetMode="External"/><Relationship Id="rId81" Type="http://schemas.openxmlformats.org/officeDocument/2006/relationships/hyperlink" Target="https://www.teamrankings.com/college-football/team/indiana-hoosiers" TargetMode="External"/><Relationship Id="rId1" Type="http://schemas.openxmlformats.org/officeDocument/2006/relationships/hyperlink" Target="https://www.teamrankings.com/college-football/team/auburn-tigers" TargetMode="External"/><Relationship Id="rId2" Type="http://schemas.openxmlformats.org/officeDocument/2006/relationships/hyperlink" Target="https://www.teamrankings.com/college-football/team/tcu-horned-frogs" TargetMode="External"/><Relationship Id="rId3" Type="http://schemas.openxmlformats.org/officeDocument/2006/relationships/hyperlink" Target="https://www.teamrankings.com/college-football/team/james-madison-dukes" TargetMode="External"/><Relationship Id="rId4" Type="http://schemas.openxmlformats.org/officeDocument/2006/relationships/hyperlink" Target="https://www.teamrankings.com/college-football/team/liberty-flames" TargetMode="External"/><Relationship Id="rId9" Type="http://schemas.openxmlformats.org/officeDocument/2006/relationships/hyperlink" Target="https://www.teamrankings.com/college-football/team/stanford-cardinal" TargetMode="External"/><Relationship Id="rId5" Type="http://schemas.openxmlformats.org/officeDocument/2006/relationships/hyperlink" Target="https://www.teamrankings.com/college-football/team/jacksonville-state-gamecocks" TargetMode="External"/><Relationship Id="rId6" Type="http://schemas.openxmlformats.org/officeDocument/2006/relationships/hyperlink" Target="https://www.teamrankings.com/college-football/team/nevada-wolf-pack" TargetMode="External"/><Relationship Id="rId7" Type="http://schemas.openxmlformats.org/officeDocument/2006/relationships/hyperlink" Target="https://www.teamrankings.com/college-football/team/boise-state-broncos" TargetMode="External"/><Relationship Id="rId8" Type="http://schemas.openxmlformats.org/officeDocument/2006/relationships/hyperlink" Target="https://www.teamrankings.com/college-football/team/ohio-state-buckeyes" TargetMode="External"/><Relationship Id="rId73" Type="http://schemas.openxmlformats.org/officeDocument/2006/relationships/hyperlink" Target="https://www.teamrankings.com/college-football/team/tennessee-volunteers" TargetMode="External"/><Relationship Id="rId72" Type="http://schemas.openxmlformats.org/officeDocument/2006/relationships/hyperlink" Target="https://www.teamrankings.com/college-football/team/kentucky-wildcats" TargetMode="External"/><Relationship Id="rId75" Type="http://schemas.openxmlformats.org/officeDocument/2006/relationships/hyperlink" Target="https://www.teamrankings.com/college-football/team/middle-tennessee-blue-raiders" TargetMode="External"/><Relationship Id="rId74" Type="http://schemas.openxmlformats.org/officeDocument/2006/relationships/hyperlink" Target="https://www.teamrankings.com/college-football/team/east-carolina-pirates" TargetMode="External"/><Relationship Id="rId77" Type="http://schemas.openxmlformats.org/officeDocument/2006/relationships/hyperlink" Target="https://www.teamrankings.com/college-football/team/georgia-tech-yellow-jackets" TargetMode="External"/><Relationship Id="rId76" Type="http://schemas.openxmlformats.org/officeDocument/2006/relationships/hyperlink" Target="https://www.teamrankings.com/college-football/team/clemson-tigers" TargetMode="External"/><Relationship Id="rId79" Type="http://schemas.openxmlformats.org/officeDocument/2006/relationships/hyperlink" Target="https://www.teamrankings.com/college-football/team/kent-state-golden-flashes" TargetMode="External"/><Relationship Id="rId78" Type="http://schemas.openxmlformats.org/officeDocument/2006/relationships/hyperlink" Target="https://www.teamrankings.com/college-football/team/marshall-thundering-herd" TargetMode="External"/><Relationship Id="rId71" Type="http://schemas.openxmlformats.org/officeDocument/2006/relationships/hyperlink" Target="https://www.teamrankings.com/college-football/team/georgia-bulldogs" TargetMode="External"/><Relationship Id="rId70" Type="http://schemas.openxmlformats.org/officeDocument/2006/relationships/hyperlink" Target="https://www.teamrankings.com/college-football/team/utep-miners" TargetMode="External"/><Relationship Id="rId132" Type="http://schemas.openxmlformats.org/officeDocument/2006/relationships/hyperlink" Target="https://www.teamrankings.com/college-football/team/south-alabama-jaguars" TargetMode="External"/><Relationship Id="rId131" Type="http://schemas.openxmlformats.org/officeDocument/2006/relationships/hyperlink" Target="https://www.teamrankings.com/college-football/team/georgia-state-panthers" TargetMode="External"/><Relationship Id="rId130" Type="http://schemas.openxmlformats.org/officeDocument/2006/relationships/hyperlink" Target="https://www.teamrankings.com/college-football/team/georgia-state-panthers" TargetMode="External"/><Relationship Id="rId135" Type="http://schemas.openxmlformats.org/officeDocument/2006/relationships/drawing" Target="../drawings/drawing16.xml"/><Relationship Id="rId134" Type="http://schemas.openxmlformats.org/officeDocument/2006/relationships/hyperlink" Target="https://www.teamrankings.com/college-football/team/georgia-state-panthers" TargetMode="External"/><Relationship Id="rId133" Type="http://schemas.openxmlformats.org/officeDocument/2006/relationships/hyperlink" Target="https://www.teamrankings.com/college-football/team/missouri-state-bears" TargetMode="External"/><Relationship Id="rId62" Type="http://schemas.openxmlformats.org/officeDocument/2006/relationships/hyperlink" Target="https://www.teamrankings.com/college-football/team/washington-huskies" TargetMode="External"/><Relationship Id="rId61" Type="http://schemas.openxmlformats.org/officeDocument/2006/relationships/hyperlink" Target="https://www.teamrankings.com/college-football/team/byu-cougars" TargetMode="External"/><Relationship Id="rId64" Type="http://schemas.openxmlformats.org/officeDocument/2006/relationships/hyperlink" Target="https://www.teamrankings.com/college-football/team/miami-hurricanes" TargetMode="External"/><Relationship Id="rId63" Type="http://schemas.openxmlformats.org/officeDocument/2006/relationships/hyperlink" Target="https://www.teamrankings.com/college-football/team/arizona-wildcats" TargetMode="External"/><Relationship Id="rId66" Type="http://schemas.openxmlformats.org/officeDocument/2006/relationships/hyperlink" Target="https://www.teamrankings.com/college-football/team/florida-international-panthers" TargetMode="External"/><Relationship Id="rId65" Type="http://schemas.openxmlformats.org/officeDocument/2006/relationships/hyperlink" Target="https://www.teamrankings.com/college-football/team/boston-college-eagles" TargetMode="External"/><Relationship Id="rId68" Type="http://schemas.openxmlformats.org/officeDocument/2006/relationships/hyperlink" Target="https://www.teamrankings.com/college-football/team/smu-mustangs" TargetMode="External"/><Relationship Id="rId67" Type="http://schemas.openxmlformats.org/officeDocument/2006/relationships/hyperlink" Target="https://www.teamrankings.com/college-football/team/western-michigan-broncos" TargetMode="External"/><Relationship Id="rId60" Type="http://schemas.openxmlformats.org/officeDocument/2006/relationships/hyperlink" Target="https://www.teamrankings.com/college-football/team/louisville-cardinals" TargetMode="External"/><Relationship Id="rId69" Type="http://schemas.openxmlformats.org/officeDocument/2006/relationships/hyperlink" Target="https://www.teamrankings.com/college-football/team/arizona-state-sun-devils" TargetMode="External"/><Relationship Id="rId51" Type="http://schemas.openxmlformats.org/officeDocument/2006/relationships/hyperlink" Target="https://www.teamrankings.com/college-football/team/connecticut-huskies" TargetMode="External"/><Relationship Id="rId50" Type="http://schemas.openxmlformats.org/officeDocument/2006/relationships/hyperlink" Target="https://www.teamrankings.com/college-football/team/pittsburgh-panthers" TargetMode="External"/><Relationship Id="rId53" Type="http://schemas.openxmlformats.org/officeDocument/2006/relationships/hyperlink" Target="https://www.teamrankings.com/college-football/team/northwestern-wildcats" TargetMode="External"/><Relationship Id="rId52" Type="http://schemas.openxmlformats.org/officeDocument/2006/relationships/hyperlink" Target="https://www.teamrankings.com/college-football/team/syracuse-orange" TargetMode="External"/><Relationship Id="rId55" Type="http://schemas.openxmlformats.org/officeDocument/2006/relationships/hyperlink" Target="https://www.teamrankings.com/college-football/team/penn-state-nittany-lions" TargetMode="External"/><Relationship Id="rId54" Type="http://schemas.openxmlformats.org/officeDocument/2006/relationships/hyperlink" Target="https://www.teamrankings.com/college-football/team/michigan-wolverines" TargetMode="External"/><Relationship Id="rId57" Type="http://schemas.openxmlformats.org/officeDocument/2006/relationships/hyperlink" Target="https://www.teamrankings.com/college-football/team/kansas-state-wildcats" TargetMode="External"/><Relationship Id="rId56" Type="http://schemas.openxmlformats.org/officeDocument/2006/relationships/hyperlink" Target="https://www.teamrankings.com/college-football/team/illinois-fighting-illini" TargetMode="External"/><Relationship Id="rId59" Type="http://schemas.openxmlformats.org/officeDocument/2006/relationships/hyperlink" Target="https://www.teamrankings.com/college-football/team/army-black-knights" TargetMode="External"/><Relationship Id="rId58" Type="http://schemas.openxmlformats.org/officeDocument/2006/relationships/hyperlink" Target="https://www.teamrankings.com/college-football/team/baylor-b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3">
        <v>1.0</v>
      </c>
      <c r="D2" s="1">
        <v>31.1</v>
      </c>
      <c r="E2" s="4">
        <f>+11.2</f>
        <v>11.2</v>
      </c>
    </row>
    <row r="3">
      <c r="A3" s="1" t="s">
        <v>7</v>
      </c>
      <c r="B3" s="2" t="s">
        <v>8</v>
      </c>
      <c r="C3" s="3">
        <v>0.923</v>
      </c>
      <c r="D3" s="1">
        <v>16.0</v>
      </c>
      <c r="E3" s="4">
        <f>+0.5</f>
        <v>0.5</v>
      </c>
    </row>
    <row r="4">
      <c r="A4" s="1" t="s">
        <v>9</v>
      </c>
      <c r="B4" s="2" t="s">
        <v>8</v>
      </c>
      <c r="C4" s="3">
        <v>0.923</v>
      </c>
      <c r="D4" s="1">
        <v>26.8</v>
      </c>
      <c r="E4" s="4">
        <f>+5.3</f>
        <v>5.3</v>
      </c>
    </row>
    <row r="5">
      <c r="A5" s="1" t="s">
        <v>10</v>
      </c>
      <c r="B5" s="2" t="s">
        <v>8</v>
      </c>
      <c r="C5" s="3">
        <v>0.923</v>
      </c>
      <c r="D5" s="1">
        <v>31.5</v>
      </c>
      <c r="E5" s="4">
        <f>+10.4</f>
        <v>10.4</v>
      </c>
    </row>
    <row r="6">
      <c r="A6" s="1" t="s">
        <v>11</v>
      </c>
      <c r="B6" s="2" t="s">
        <v>8</v>
      </c>
      <c r="C6" s="3">
        <v>0.923</v>
      </c>
      <c r="D6" s="1">
        <v>21.5</v>
      </c>
      <c r="E6" s="4">
        <f>+7.5</f>
        <v>7.5</v>
      </c>
    </row>
    <row r="7">
      <c r="A7" s="1" t="s">
        <v>12</v>
      </c>
      <c r="B7" s="2" t="s">
        <v>13</v>
      </c>
      <c r="C7" s="3">
        <v>0.917</v>
      </c>
      <c r="D7" s="1">
        <v>17.2</v>
      </c>
      <c r="E7" s="4">
        <f>+3.7</f>
        <v>3.7</v>
      </c>
    </row>
    <row r="8">
      <c r="A8" s="1" t="s">
        <v>14</v>
      </c>
      <c r="B8" s="2" t="s">
        <v>13</v>
      </c>
      <c r="C8" s="3">
        <v>0.917</v>
      </c>
      <c r="D8" s="1">
        <v>14.4</v>
      </c>
      <c r="E8" s="1">
        <v>0.0</v>
      </c>
    </row>
    <row r="9">
      <c r="A9" s="1" t="s">
        <v>15</v>
      </c>
      <c r="B9" s="2" t="s">
        <v>13</v>
      </c>
      <c r="C9" s="3">
        <v>0.917</v>
      </c>
      <c r="D9" s="1">
        <v>23.3</v>
      </c>
      <c r="E9" s="4">
        <f>+5.2</f>
        <v>5.2</v>
      </c>
    </row>
    <row r="10">
      <c r="A10" s="1" t="s">
        <v>16</v>
      </c>
      <c r="B10" s="2" t="s">
        <v>17</v>
      </c>
      <c r="C10" s="3">
        <v>0.846</v>
      </c>
      <c r="D10" s="1">
        <v>6.5</v>
      </c>
      <c r="E10" s="1">
        <v>-1.0</v>
      </c>
    </row>
    <row r="11">
      <c r="A11" s="1" t="s">
        <v>18</v>
      </c>
      <c r="B11" s="2" t="s">
        <v>17</v>
      </c>
      <c r="C11" s="3">
        <v>0.846</v>
      </c>
      <c r="D11" s="1">
        <v>19.8</v>
      </c>
      <c r="E11" s="4">
        <f>+7.7</f>
        <v>7.7</v>
      </c>
    </row>
    <row r="12">
      <c r="A12" s="1" t="s">
        <v>19</v>
      </c>
      <c r="B12" s="2" t="s">
        <v>17</v>
      </c>
      <c r="C12" s="3">
        <v>0.846</v>
      </c>
      <c r="D12" s="1">
        <v>12.9</v>
      </c>
      <c r="E12" s="4">
        <f>+6.1</f>
        <v>6.1</v>
      </c>
    </row>
    <row r="13">
      <c r="A13" s="1" t="s">
        <v>20</v>
      </c>
      <c r="B13" s="2" t="s">
        <v>21</v>
      </c>
      <c r="C13" s="3">
        <v>0.833</v>
      </c>
      <c r="D13" s="1">
        <v>24.4</v>
      </c>
      <c r="E13" s="4">
        <f>+4.5</f>
        <v>4.5</v>
      </c>
    </row>
    <row r="14">
      <c r="A14" s="1" t="s">
        <v>22</v>
      </c>
      <c r="B14" s="2" t="s">
        <v>21</v>
      </c>
      <c r="C14" s="3">
        <v>0.833</v>
      </c>
      <c r="D14" s="1">
        <v>17.5</v>
      </c>
      <c r="E14" s="4">
        <f>+10.7</f>
        <v>10.7</v>
      </c>
    </row>
    <row r="15">
      <c r="A15" s="1" t="s">
        <v>23</v>
      </c>
      <c r="B15" s="2" t="s">
        <v>21</v>
      </c>
      <c r="C15" s="3">
        <v>0.833</v>
      </c>
      <c r="D15" s="1">
        <v>12.5</v>
      </c>
      <c r="E15" s="4">
        <f>+1.2</f>
        <v>1.2</v>
      </c>
    </row>
    <row r="16">
      <c r="A16" s="1" t="s">
        <v>24</v>
      </c>
      <c r="B16" s="2" t="s">
        <v>21</v>
      </c>
      <c r="C16" s="3">
        <v>0.833</v>
      </c>
      <c r="D16" s="1">
        <v>22.4</v>
      </c>
      <c r="E16" s="4">
        <f>+8.5</f>
        <v>8.5</v>
      </c>
    </row>
    <row r="17">
      <c r="A17" s="1" t="s">
        <v>25</v>
      </c>
      <c r="B17" s="2" t="s">
        <v>21</v>
      </c>
      <c r="C17" s="3">
        <v>0.833</v>
      </c>
      <c r="D17" s="1">
        <v>20.3</v>
      </c>
      <c r="E17" s="4">
        <f>+3.9</f>
        <v>3.9</v>
      </c>
    </row>
    <row r="18">
      <c r="A18" s="1" t="s">
        <v>26</v>
      </c>
      <c r="B18" s="2" t="s">
        <v>27</v>
      </c>
      <c r="C18" s="3">
        <v>0.818</v>
      </c>
      <c r="D18" s="1">
        <v>5.5</v>
      </c>
      <c r="E18" s="1">
        <v>-1.4</v>
      </c>
    </row>
    <row r="19">
      <c r="A19" s="1" t="s">
        <v>28</v>
      </c>
      <c r="B19" s="2" t="s">
        <v>29</v>
      </c>
      <c r="C19" s="3">
        <v>0.769</v>
      </c>
      <c r="D19" s="1">
        <v>13.8</v>
      </c>
      <c r="E19" s="4">
        <f>+0.7</f>
        <v>0.7</v>
      </c>
    </row>
    <row r="20">
      <c r="A20" s="1" t="s">
        <v>30</v>
      </c>
      <c r="B20" s="2" t="s">
        <v>29</v>
      </c>
      <c r="C20" s="3">
        <v>0.769</v>
      </c>
      <c r="D20" s="1">
        <v>7.1</v>
      </c>
      <c r="E20" s="4">
        <f>+2.8</f>
        <v>2.8</v>
      </c>
    </row>
    <row r="21">
      <c r="A21" s="1" t="s">
        <v>31</v>
      </c>
      <c r="B21" s="2" t="s">
        <v>29</v>
      </c>
      <c r="C21" s="3">
        <v>0.769</v>
      </c>
      <c r="D21" s="1">
        <v>11.6</v>
      </c>
      <c r="E21" s="4">
        <f>+4.5</f>
        <v>4.5</v>
      </c>
    </row>
    <row r="22">
      <c r="A22" s="1" t="s">
        <v>32</v>
      </c>
      <c r="B22" s="2" t="s">
        <v>29</v>
      </c>
      <c r="C22" s="3">
        <v>0.769</v>
      </c>
      <c r="D22" s="1">
        <v>4.0</v>
      </c>
      <c r="E22" s="4">
        <f>+3.8</f>
        <v>3.8</v>
      </c>
    </row>
    <row r="23">
      <c r="A23" s="1" t="s">
        <v>33</v>
      </c>
      <c r="B23" s="2" t="s">
        <v>34</v>
      </c>
      <c r="C23" s="3">
        <v>0.75</v>
      </c>
      <c r="D23" s="1">
        <v>8.9</v>
      </c>
      <c r="E23" s="1">
        <v>-1.5</v>
      </c>
    </row>
    <row r="24">
      <c r="A24" s="1" t="s">
        <v>35</v>
      </c>
      <c r="B24" s="2" t="s">
        <v>34</v>
      </c>
      <c r="C24" s="3">
        <v>0.75</v>
      </c>
      <c r="D24" s="1">
        <v>9.8</v>
      </c>
      <c r="E24" s="1">
        <v>-2.3</v>
      </c>
    </row>
    <row r="25">
      <c r="A25" s="1" t="s">
        <v>36</v>
      </c>
      <c r="B25" s="2" t="s">
        <v>34</v>
      </c>
      <c r="C25" s="3">
        <v>0.75</v>
      </c>
      <c r="D25" s="1">
        <v>6.5</v>
      </c>
      <c r="E25" s="4">
        <f>+2</f>
        <v>2</v>
      </c>
    </row>
    <row r="26">
      <c r="A26" s="1" t="s">
        <v>37</v>
      </c>
      <c r="B26" s="2" t="s">
        <v>34</v>
      </c>
      <c r="C26" s="3">
        <v>0.75</v>
      </c>
      <c r="D26" s="1">
        <v>19.7</v>
      </c>
      <c r="E26" s="4">
        <f>+9.8</f>
        <v>9.8</v>
      </c>
    </row>
    <row r="27">
      <c r="A27" s="1" t="s">
        <v>38</v>
      </c>
      <c r="B27" s="2" t="s">
        <v>34</v>
      </c>
      <c r="C27" s="3">
        <v>0.75</v>
      </c>
      <c r="D27" s="1">
        <v>5.4</v>
      </c>
      <c r="E27" s="4">
        <f>+5.3</f>
        <v>5.3</v>
      </c>
    </row>
    <row r="28">
      <c r="A28" s="1" t="s">
        <v>39</v>
      </c>
      <c r="B28" s="2" t="s">
        <v>34</v>
      </c>
      <c r="C28" s="3">
        <v>0.75</v>
      </c>
      <c r="D28" s="1">
        <v>12.1</v>
      </c>
      <c r="E28" s="4">
        <f>+7.9</f>
        <v>7.9</v>
      </c>
    </row>
    <row r="29">
      <c r="A29" s="1" t="s">
        <v>40</v>
      </c>
      <c r="B29" s="2" t="s">
        <v>34</v>
      </c>
      <c r="C29" s="3">
        <v>0.75</v>
      </c>
      <c r="D29" s="1">
        <v>13.7</v>
      </c>
      <c r="E29" s="4">
        <f>+7.4</f>
        <v>7.4</v>
      </c>
    </row>
    <row r="30">
      <c r="A30" s="1" t="s">
        <v>41</v>
      </c>
      <c r="B30" s="2" t="s">
        <v>34</v>
      </c>
      <c r="C30" s="3">
        <v>0.75</v>
      </c>
      <c r="D30" s="1">
        <v>14.1</v>
      </c>
      <c r="E30" s="4">
        <f>+2.4</f>
        <v>2.4</v>
      </c>
    </row>
    <row r="31">
      <c r="A31" s="1" t="s">
        <v>42</v>
      </c>
      <c r="B31" s="2" t="s">
        <v>34</v>
      </c>
      <c r="C31" s="3">
        <v>0.75</v>
      </c>
      <c r="D31" s="1">
        <v>8.1</v>
      </c>
      <c r="E31" s="1">
        <v>-1.2</v>
      </c>
    </row>
    <row r="32">
      <c r="A32" s="1" t="s">
        <v>43</v>
      </c>
      <c r="B32" s="2" t="s">
        <v>34</v>
      </c>
      <c r="C32" s="3">
        <v>0.75</v>
      </c>
      <c r="D32" s="1">
        <v>11.1</v>
      </c>
      <c r="E32" s="4">
        <f>+3.5</f>
        <v>3.5</v>
      </c>
    </row>
    <row r="33">
      <c r="A33" s="1" t="s">
        <v>44</v>
      </c>
      <c r="B33" s="2" t="s">
        <v>34</v>
      </c>
      <c r="C33" s="3">
        <v>0.75</v>
      </c>
      <c r="D33" s="1">
        <v>13.4</v>
      </c>
      <c r="E33" s="4">
        <f>+3.8</f>
        <v>3.8</v>
      </c>
    </row>
    <row r="34">
      <c r="A34" s="1" t="s">
        <v>45</v>
      </c>
      <c r="B34" s="2" t="s">
        <v>46</v>
      </c>
      <c r="C34" s="3">
        <v>0.692</v>
      </c>
      <c r="D34" s="1">
        <v>5.4</v>
      </c>
      <c r="E34" s="4">
        <f>+7</f>
        <v>7</v>
      </c>
    </row>
    <row r="35">
      <c r="A35" s="1" t="s">
        <v>47</v>
      </c>
      <c r="B35" s="2" t="s">
        <v>46</v>
      </c>
      <c r="C35" s="3">
        <v>0.692</v>
      </c>
      <c r="D35" s="1">
        <v>8.4</v>
      </c>
      <c r="E35" s="1">
        <v>-1.8</v>
      </c>
    </row>
    <row r="36">
      <c r="A36" s="1" t="s">
        <v>48</v>
      </c>
      <c r="B36" s="2" t="s">
        <v>49</v>
      </c>
      <c r="C36" s="3">
        <v>0.667</v>
      </c>
      <c r="D36" s="1">
        <v>19.4</v>
      </c>
      <c r="E36" s="4">
        <f>+5.7</f>
        <v>5.7</v>
      </c>
    </row>
    <row r="37">
      <c r="A37" s="1" t="s">
        <v>50</v>
      </c>
      <c r="B37" s="2" t="s">
        <v>49</v>
      </c>
      <c r="C37" s="3">
        <v>0.667</v>
      </c>
      <c r="D37" s="1">
        <v>5.8</v>
      </c>
      <c r="E37" s="1">
        <v>0.0</v>
      </c>
    </row>
    <row r="38">
      <c r="A38" s="1" t="s">
        <v>51</v>
      </c>
      <c r="B38" s="2" t="s">
        <v>49</v>
      </c>
      <c r="C38" s="3">
        <v>0.667</v>
      </c>
      <c r="D38" s="1">
        <v>12.3</v>
      </c>
      <c r="E38" s="4">
        <f>+1.1</f>
        <v>1.1</v>
      </c>
    </row>
    <row r="39">
      <c r="A39" s="1" t="s">
        <v>52</v>
      </c>
      <c r="B39" s="2" t="s">
        <v>49</v>
      </c>
      <c r="C39" s="3">
        <v>0.667</v>
      </c>
      <c r="D39" s="1">
        <v>5.0</v>
      </c>
      <c r="E39" s="4">
        <f>+5.7</f>
        <v>5.7</v>
      </c>
    </row>
    <row r="40">
      <c r="A40" s="1" t="s">
        <v>53</v>
      </c>
      <c r="B40" s="2" t="s">
        <v>49</v>
      </c>
      <c r="C40" s="3">
        <v>0.667</v>
      </c>
      <c r="D40" s="1">
        <v>6.3</v>
      </c>
      <c r="E40" s="4">
        <f>+3.6</f>
        <v>3.6</v>
      </c>
    </row>
    <row r="41">
      <c r="A41" s="1" t="s">
        <v>54</v>
      </c>
      <c r="B41" s="2" t="s">
        <v>49</v>
      </c>
      <c r="C41" s="3">
        <v>0.667</v>
      </c>
      <c r="D41" s="1">
        <v>12.0</v>
      </c>
      <c r="E41" s="1">
        <v>-0.9</v>
      </c>
    </row>
    <row r="42">
      <c r="A42" s="1" t="s">
        <v>55</v>
      </c>
      <c r="B42" s="2" t="s">
        <v>49</v>
      </c>
      <c r="C42" s="3">
        <v>0.667</v>
      </c>
      <c r="D42" s="1">
        <v>6.1</v>
      </c>
      <c r="E42" s="1">
        <v>-2.2</v>
      </c>
    </row>
    <row r="43">
      <c r="A43" s="1" t="s">
        <v>56</v>
      </c>
      <c r="B43" s="2" t="s">
        <v>49</v>
      </c>
      <c r="C43" s="3">
        <v>0.667</v>
      </c>
      <c r="D43" s="1">
        <v>13.8</v>
      </c>
      <c r="E43" s="4">
        <f>+6.1</f>
        <v>6.1</v>
      </c>
    </row>
    <row r="44">
      <c r="A44" s="1" t="s">
        <v>57</v>
      </c>
      <c r="B44" s="2" t="s">
        <v>49</v>
      </c>
      <c r="C44" s="3">
        <v>0.667</v>
      </c>
      <c r="D44" s="1">
        <v>7.3</v>
      </c>
      <c r="E44" s="4">
        <f>+2</f>
        <v>2</v>
      </c>
    </row>
    <row r="45">
      <c r="A45" s="1" t="s">
        <v>58</v>
      </c>
      <c r="B45" s="2" t="s">
        <v>49</v>
      </c>
      <c r="C45" s="3">
        <v>0.667</v>
      </c>
      <c r="D45" s="1">
        <v>12.8</v>
      </c>
      <c r="E45" s="4">
        <f>+2.7</f>
        <v>2.7</v>
      </c>
    </row>
    <row r="46">
      <c r="A46" s="1" t="s">
        <v>59</v>
      </c>
      <c r="B46" s="2" t="s">
        <v>49</v>
      </c>
      <c r="C46" s="3">
        <v>0.667</v>
      </c>
      <c r="D46" s="1">
        <v>13.2</v>
      </c>
      <c r="E46" s="4">
        <f>+7</f>
        <v>7</v>
      </c>
    </row>
    <row r="47">
      <c r="A47" s="1" t="s">
        <v>60</v>
      </c>
      <c r="B47" s="2" t="s">
        <v>49</v>
      </c>
      <c r="C47" s="3">
        <v>0.667</v>
      </c>
      <c r="D47" s="1">
        <v>5.6</v>
      </c>
      <c r="E47" s="1">
        <v>-2.4</v>
      </c>
    </row>
    <row r="48">
      <c r="A48" s="1" t="s">
        <v>61</v>
      </c>
      <c r="B48" s="2" t="s">
        <v>49</v>
      </c>
      <c r="C48" s="3">
        <v>0.667</v>
      </c>
      <c r="D48" s="1">
        <v>12.1</v>
      </c>
      <c r="E48" s="4">
        <f>+2.5</f>
        <v>2.5</v>
      </c>
    </row>
    <row r="49">
      <c r="A49" s="1" t="s">
        <v>62</v>
      </c>
      <c r="B49" s="2" t="s">
        <v>49</v>
      </c>
      <c r="C49" s="3">
        <v>0.667</v>
      </c>
      <c r="D49" s="1">
        <v>9.1</v>
      </c>
      <c r="E49" s="1">
        <v>-1.8</v>
      </c>
    </row>
    <row r="50">
      <c r="A50" s="1" t="s">
        <v>63</v>
      </c>
      <c r="B50" s="2" t="s">
        <v>49</v>
      </c>
      <c r="C50" s="3">
        <v>0.667</v>
      </c>
      <c r="D50" s="1">
        <v>14.3</v>
      </c>
      <c r="E50" s="4">
        <f>+5.6</f>
        <v>5.6</v>
      </c>
    </row>
    <row r="51">
      <c r="A51" s="1" t="s">
        <v>64</v>
      </c>
      <c r="B51" s="2" t="s">
        <v>49</v>
      </c>
      <c r="C51" s="3">
        <v>0.667</v>
      </c>
      <c r="D51" s="1">
        <v>1.7</v>
      </c>
      <c r="E51" s="1">
        <v>-2.8</v>
      </c>
    </row>
    <row r="52">
      <c r="A52" s="1" t="s">
        <v>65</v>
      </c>
      <c r="B52" s="2" t="s">
        <v>49</v>
      </c>
      <c r="C52" s="3">
        <v>0.667</v>
      </c>
      <c r="D52" s="1">
        <v>5.3</v>
      </c>
      <c r="E52" s="4">
        <f>+4.8</f>
        <v>4.8</v>
      </c>
    </row>
    <row r="53">
      <c r="A53" s="1" t="s">
        <v>66</v>
      </c>
      <c r="B53" s="2" t="s">
        <v>49</v>
      </c>
      <c r="C53" s="3">
        <v>0.667</v>
      </c>
      <c r="D53" s="1">
        <v>10.2</v>
      </c>
      <c r="E53" s="4">
        <f>+4.6</f>
        <v>4.6</v>
      </c>
    </row>
    <row r="54">
      <c r="A54" s="1" t="s">
        <v>67</v>
      </c>
      <c r="B54" s="2" t="s">
        <v>49</v>
      </c>
      <c r="C54" s="3">
        <v>0.667</v>
      </c>
      <c r="D54" s="1">
        <v>6.3</v>
      </c>
      <c r="E54" s="4">
        <f>+2.8</f>
        <v>2.8</v>
      </c>
    </row>
    <row r="55">
      <c r="A55" s="1" t="s">
        <v>68</v>
      </c>
      <c r="B55" s="2" t="s">
        <v>69</v>
      </c>
      <c r="C55" s="3">
        <v>0.615</v>
      </c>
      <c r="D55" s="1">
        <v>-0.2</v>
      </c>
      <c r="E55" s="4">
        <f>+3.1</f>
        <v>3.1</v>
      </c>
    </row>
    <row r="56">
      <c r="A56" s="1" t="s">
        <v>70</v>
      </c>
      <c r="B56" s="2" t="s">
        <v>69</v>
      </c>
      <c r="C56" s="3">
        <v>0.615</v>
      </c>
      <c r="D56" s="1">
        <v>5.3</v>
      </c>
      <c r="E56" s="4">
        <f>+0.7</f>
        <v>0.7</v>
      </c>
    </row>
    <row r="57">
      <c r="A57" s="1" t="s">
        <v>71</v>
      </c>
      <c r="B57" s="2" t="s">
        <v>69</v>
      </c>
      <c r="C57" s="3">
        <v>0.615</v>
      </c>
      <c r="D57" s="1">
        <v>2.8</v>
      </c>
      <c r="E57" s="4">
        <f>+2.7</f>
        <v>2.7</v>
      </c>
    </row>
    <row r="58">
      <c r="A58" s="1" t="s">
        <v>72</v>
      </c>
      <c r="B58" s="2" t="s">
        <v>73</v>
      </c>
      <c r="C58" s="3">
        <v>0.583</v>
      </c>
      <c r="D58" s="1">
        <v>1.2</v>
      </c>
      <c r="E58" s="4">
        <f>+2.6</f>
        <v>2.6</v>
      </c>
    </row>
    <row r="59">
      <c r="A59" s="1" t="s">
        <v>74</v>
      </c>
      <c r="B59" s="2" t="s">
        <v>73</v>
      </c>
      <c r="C59" s="3">
        <v>0.583</v>
      </c>
      <c r="D59" s="1">
        <v>6.3</v>
      </c>
      <c r="E59" s="4">
        <f>+5.4</f>
        <v>5.4</v>
      </c>
    </row>
    <row r="60">
      <c r="A60" s="1" t="s">
        <v>75</v>
      </c>
      <c r="B60" s="2" t="s">
        <v>73</v>
      </c>
      <c r="C60" s="3">
        <v>0.583</v>
      </c>
      <c r="D60" s="1">
        <v>3.5</v>
      </c>
      <c r="E60" s="1">
        <v>-4.5</v>
      </c>
    </row>
    <row r="61">
      <c r="A61" s="1" t="s">
        <v>76</v>
      </c>
      <c r="B61" s="2" t="s">
        <v>73</v>
      </c>
      <c r="C61" s="3">
        <v>0.583</v>
      </c>
      <c r="D61" s="1">
        <v>-0.2</v>
      </c>
      <c r="E61" s="1">
        <v>-0.8</v>
      </c>
    </row>
    <row r="62">
      <c r="A62" s="1" t="s">
        <v>77</v>
      </c>
      <c r="B62" s="2" t="s">
        <v>73</v>
      </c>
      <c r="C62" s="3">
        <v>0.583</v>
      </c>
      <c r="D62" s="1">
        <v>6.3</v>
      </c>
      <c r="E62" s="1">
        <v>-2.4</v>
      </c>
    </row>
    <row r="63">
      <c r="A63" s="1" t="s">
        <v>78</v>
      </c>
      <c r="B63" s="2" t="s">
        <v>73</v>
      </c>
      <c r="C63" s="3">
        <v>0.583</v>
      </c>
      <c r="D63" s="1">
        <v>6.9</v>
      </c>
      <c r="E63" s="1">
        <v>-0.5</v>
      </c>
    </row>
    <row r="64">
      <c r="A64" s="1" t="s">
        <v>79</v>
      </c>
      <c r="B64" s="2" t="s">
        <v>73</v>
      </c>
      <c r="C64" s="3">
        <v>0.583</v>
      </c>
      <c r="D64" s="1">
        <v>2.4</v>
      </c>
      <c r="E64" s="1">
        <v>-0.8</v>
      </c>
    </row>
    <row r="65">
      <c r="A65" s="1" t="s">
        <v>80</v>
      </c>
      <c r="B65" s="2" t="s">
        <v>73</v>
      </c>
      <c r="C65" s="3">
        <v>0.583</v>
      </c>
      <c r="D65" s="1">
        <v>-1.7</v>
      </c>
      <c r="E65" s="1">
        <v>-3.0</v>
      </c>
    </row>
    <row r="66">
      <c r="A66" s="1" t="s">
        <v>81</v>
      </c>
      <c r="B66" s="2" t="s">
        <v>73</v>
      </c>
      <c r="C66" s="3">
        <v>0.583</v>
      </c>
      <c r="D66" s="1">
        <v>8.3</v>
      </c>
      <c r="E66" s="1">
        <v>-2.7</v>
      </c>
    </row>
    <row r="67">
      <c r="A67" s="1" t="s">
        <v>82</v>
      </c>
      <c r="B67" s="2" t="s">
        <v>73</v>
      </c>
      <c r="C67" s="3">
        <v>0.583</v>
      </c>
      <c r="D67" s="1">
        <v>1.3</v>
      </c>
      <c r="E67" s="1">
        <v>-0.7</v>
      </c>
    </row>
    <row r="68">
      <c r="A68" s="1" t="s">
        <v>83</v>
      </c>
      <c r="B68" s="2" t="s">
        <v>73</v>
      </c>
      <c r="C68" s="3">
        <v>0.583</v>
      </c>
      <c r="D68" s="1">
        <v>1.5</v>
      </c>
      <c r="E68" s="4">
        <f>+3.3</f>
        <v>3.3</v>
      </c>
    </row>
    <row r="69">
      <c r="A69" s="1" t="s">
        <v>84</v>
      </c>
      <c r="B69" s="2" t="s">
        <v>73</v>
      </c>
      <c r="C69" s="3">
        <v>0.583</v>
      </c>
      <c r="D69" s="1">
        <v>-2.9</v>
      </c>
      <c r="E69" s="4">
        <f>+1.9</f>
        <v>1.9</v>
      </c>
    </row>
    <row r="70">
      <c r="A70" s="1" t="s">
        <v>85</v>
      </c>
      <c r="B70" s="2" t="s">
        <v>86</v>
      </c>
      <c r="C70" s="3">
        <v>0.546</v>
      </c>
      <c r="D70" s="1">
        <v>0.5</v>
      </c>
      <c r="E70" s="1">
        <v>-0.9</v>
      </c>
    </row>
    <row r="71">
      <c r="A71" s="1" t="s">
        <v>87</v>
      </c>
      <c r="B71" s="2" t="s">
        <v>88</v>
      </c>
      <c r="C71" s="3">
        <v>0.539</v>
      </c>
      <c r="D71" s="1">
        <v>3.1</v>
      </c>
      <c r="E71" s="4">
        <f>+0.9</f>
        <v>0.9</v>
      </c>
    </row>
    <row r="72">
      <c r="A72" s="1" t="s">
        <v>89</v>
      </c>
      <c r="B72" s="2" t="s">
        <v>90</v>
      </c>
      <c r="C72" s="3">
        <v>0.5</v>
      </c>
      <c r="D72" s="1">
        <v>1.6</v>
      </c>
      <c r="E72" s="4">
        <f>+4.3</f>
        <v>4.3</v>
      </c>
    </row>
    <row r="73">
      <c r="A73" s="1" t="s">
        <v>91</v>
      </c>
      <c r="B73" s="2" t="s">
        <v>90</v>
      </c>
      <c r="C73" s="3">
        <v>0.5</v>
      </c>
      <c r="D73" s="1">
        <v>10.3</v>
      </c>
      <c r="E73" s="1">
        <v>-4.3</v>
      </c>
    </row>
    <row r="74">
      <c r="A74" s="1" t="s">
        <v>92</v>
      </c>
      <c r="B74" s="2" t="s">
        <v>90</v>
      </c>
      <c r="C74" s="3">
        <v>0.5</v>
      </c>
      <c r="D74" s="1">
        <v>2.8</v>
      </c>
      <c r="E74" s="1">
        <v>-1.9</v>
      </c>
    </row>
    <row r="75">
      <c r="A75" s="1" t="s">
        <v>93</v>
      </c>
      <c r="B75" s="2" t="s">
        <v>90</v>
      </c>
      <c r="C75" s="3">
        <v>0.5</v>
      </c>
      <c r="D75" s="1">
        <v>-2.9</v>
      </c>
      <c r="E75" s="1">
        <v>-0.6</v>
      </c>
    </row>
    <row r="76">
      <c r="A76" s="1" t="s">
        <v>94</v>
      </c>
      <c r="B76" s="2" t="s">
        <v>90</v>
      </c>
      <c r="C76" s="3">
        <v>0.5</v>
      </c>
      <c r="D76" s="1">
        <v>3.5</v>
      </c>
      <c r="E76" s="4">
        <f>+6</f>
        <v>6</v>
      </c>
    </row>
    <row r="77">
      <c r="A77" s="1" t="s">
        <v>95</v>
      </c>
      <c r="B77" s="2" t="s">
        <v>90</v>
      </c>
      <c r="C77" s="3">
        <v>0.5</v>
      </c>
      <c r="D77" s="1">
        <v>-2.9</v>
      </c>
      <c r="E77" s="4">
        <f>+2</f>
        <v>2</v>
      </c>
    </row>
    <row r="78">
      <c r="A78" s="1" t="s">
        <v>96</v>
      </c>
      <c r="B78" s="2" t="s">
        <v>90</v>
      </c>
      <c r="C78" s="3">
        <v>0.5</v>
      </c>
      <c r="D78" s="1">
        <v>1.4</v>
      </c>
      <c r="E78" s="4">
        <f>+5.9</f>
        <v>5.9</v>
      </c>
    </row>
    <row r="79">
      <c r="A79" s="1" t="s">
        <v>97</v>
      </c>
      <c r="B79" s="2" t="s">
        <v>90</v>
      </c>
      <c r="C79" s="3">
        <v>0.5</v>
      </c>
      <c r="D79" s="1">
        <v>-2.8</v>
      </c>
      <c r="E79" s="1">
        <v>-2.5</v>
      </c>
    </row>
    <row r="80">
      <c r="A80" s="1" t="s">
        <v>98</v>
      </c>
      <c r="B80" s="2" t="s">
        <v>90</v>
      </c>
      <c r="C80" s="3">
        <v>0.5</v>
      </c>
      <c r="D80" s="1">
        <v>5.5</v>
      </c>
      <c r="E80" s="1">
        <v>-0.3</v>
      </c>
    </row>
    <row r="81">
      <c r="A81" s="1" t="s">
        <v>99</v>
      </c>
      <c r="B81" s="2" t="s">
        <v>90</v>
      </c>
      <c r="C81" s="3">
        <v>0.5</v>
      </c>
      <c r="D81" s="1">
        <v>-6.3</v>
      </c>
      <c r="E81" s="1">
        <v>-3.0</v>
      </c>
    </row>
    <row r="82">
      <c r="A82" s="1" t="s">
        <v>100</v>
      </c>
      <c r="B82" s="2" t="s">
        <v>90</v>
      </c>
      <c r="C82" s="3">
        <v>0.5</v>
      </c>
      <c r="D82" s="1">
        <v>-11.1</v>
      </c>
      <c r="E82" s="1">
        <v>-3.7</v>
      </c>
    </row>
    <row r="83">
      <c r="A83" s="1" t="s">
        <v>101</v>
      </c>
      <c r="B83" s="2" t="s">
        <v>90</v>
      </c>
      <c r="C83" s="3">
        <v>0.5</v>
      </c>
      <c r="D83" s="1">
        <v>4.2</v>
      </c>
      <c r="E83" s="4">
        <f>+2.2</f>
        <v>2.2</v>
      </c>
    </row>
    <row r="84">
      <c r="A84" s="1" t="s">
        <v>102</v>
      </c>
      <c r="B84" s="2" t="s">
        <v>103</v>
      </c>
      <c r="C84" s="3">
        <v>0.417</v>
      </c>
      <c r="D84" s="1">
        <v>-5.2</v>
      </c>
      <c r="E84" s="4">
        <f>+0.7</f>
        <v>0.7</v>
      </c>
    </row>
    <row r="85">
      <c r="A85" s="1" t="s">
        <v>104</v>
      </c>
      <c r="B85" s="2" t="s">
        <v>103</v>
      </c>
      <c r="C85" s="3">
        <v>0.417</v>
      </c>
      <c r="D85" s="1">
        <v>0.5</v>
      </c>
      <c r="E85" s="1">
        <v>-5.2</v>
      </c>
    </row>
    <row r="86">
      <c r="A86" s="1" t="s">
        <v>105</v>
      </c>
      <c r="B86" s="2" t="s">
        <v>103</v>
      </c>
      <c r="C86" s="3">
        <v>0.417</v>
      </c>
      <c r="D86" s="1">
        <v>0.5</v>
      </c>
      <c r="E86" s="4">
        <f>+1.5</f>
        <v>1.5</v>
      </c>
    </row>
    <row r="87">
      <c r="A87" s="1" t="s">
        <v>106</v>
      </c>
      <c r="B87" s="2" t="s">
        <v>103</v>
      </c>
      <c r="C87" s="3">
        <v>0.417</v>
      </c>
      <c r="D87" s="1">
        <v>0.8</v>
      </c>
      <c r="E87" s="1">
        <v>-3.0</v>
      </c>
    </row>
    <row r="88">
      <c r="A88" s="1" t="s">
        <v>107</v>
      </c>
      <c r="B88" s="2" t="s">
        <v>103</v>
      </c>
      <c r="C88" s="3">
        <v>0.417</v>
      </c>
      <c r="D88" s="1">
        <v>-12.3</v>
      </c>
      <c r="E88" s="4">
        <f>+5.1</f>
        <v>5.1</v>
      </c>
    </row>
    <row r="89">
      <c r="A89" s="1" t="s">
        <v>108</v>
      </c>
      <c r="B89" s="2" t="s">
        <v>103</v>
      </c>
      <c r="C89" s="3">
        <v>0.417</v>
      </c>
      <c r="D89" s="1">
        <v>-12.4</v>
      </c>
      <c r="E89" s="1">
        <v>-5.5</v>
      </c>
    </row>
    <row r="90">
      <c r="A90" s="1" t="s">
        <v>109</v>
      </c>
      <c r="B90" s="2" t="s">
        <v>103</v>
      </c>
      <c r="C90" s="3">
        <v>0.417</v>
      </c>
      <c r="D90" s="1">
        <v>-3.4</v>
      </c>
      <c r="E90" s="1">
        <v>-2.0</v>
      </c>
    </row>
    <row r="91">
      <c r="A91" s="1" t="s">
        <v>110</v>
      </c>
      <c r="B91" s="2" t="s">
        <v>103</v>
      </c>
      <c r="C91" s="3">
        <v>0.417</v>
      </c>
      <c r="D91" s="1">
        <v>6.1</v>
      </c>
      <c r="E91" s="1">
        <v>0.0</v>
      </c>
    </row>
    <row r="92">
      <c r="A92" s="1" t="s">
        <v>111</v>
      </c>
      <c r="B92" s="2" t="s">
        <v>103</v>
      </c>
      <c r="C92" s="3">
        <v>0.417</v>
      </c>
      <c r="D92" s="1">
        <v>1.3</v>
      </c>
      <c r="E92" s="4">
        <f>+1</f>
        <v>1</v>
      </c>
    </row>
    <row r="93">
      <c r="A93" s="1" t="s">
        <v>112</v>
      </c>
      <c r="B93" s="2" t="s">
        <v>103</v>
      </c>
      <c r="C93" s="3">
        <v>0.417</v>
      </c>
      <c r="D93" s="1">
        <v>1.3</v>
      </c>
      <c r="E93" s="1">
        <v>-4.5</v>
      </c>
    </row>
    <row r="94">
      <c r="A94" s="1" t="s">
        <v>113</v>
      </c>
      <c r="B94" s="2" t="s">
        <v>103</v>
      </c>
      <c r="C94" s="3">
        <v>0.417</v>
      </c>
      <c r="D94" s="1">
        <v>-1.5</v>
      </c>
      <c r="E94" s="1">
        <v>-6.3</v>
      </c>
    </row>
    <row r="95">
      <c r="A95" s="1" t="s">
        <v>114</v>
      </c>
      <c r="B95" s="2" t="s">
        <v>103</v>
      </c>
      <c r="C95" s="3">
        <v>0.417</v>
      </c>
      <c r="D95" s="1">
        <v>11.0</v>
      </c>
      <c r="E95" s="1">
        <v>-0.5</v>
      </c>
    </row>
    <row r="96">
      <c r="A96" s="1" t="s">
        <v>115</v>
      </c>
      <c r="B96" s="2" t="s">
        <v>103</v>
      </c>
      <c r="C96" s="3">
        <v>0.417</v>
      </c>
      <c r="D96" s="1">
        <v>-1.8</v>
      </c>
      <c r="E96" s="4">
        <f>+3.1</f>
        <v>3.1</v>
      </c>
    </row>
    <row r="97">
      <c r="A97" s="1" t="s">
        <v>116</v>
      </c>
      <c r="B97" s="2" t="s">
        <v>103</v>
      </c>
      <c r="C97" s="3">
        <v>0.417</v>
      </c>
      <c r="D97" s="1">
        <v>-3.2</v>
      </c>
      <c r="E97" s="1">
        <v>-2.0</v>
      </c>
    </row>
    <row r="98">
      <c r="A98" s="1" t="s">
        <v>117</v>
      </c>
      <c r="B98" s="2" t="s">
        <v>103</v>
      </c>
      <c r="C98" s="3">
        <v>0.417</v>
      </c>
      <c r="D98" s="1">
        <v>-4.5</v>
      </c>
      <c r="E98" s="1">
        <v>-4.8</v>
      </c>
    </row>
    <row r="99">
      <c r="A99" s="1" t="s">
        <v>118</v>
      </c>
      <c r="B99" s="2" t="s">
        <v>119</v>
      </c>
      <c r="C99" s="3">
        <v>0.333</v>
      </c>
      <c r="D99" s="1">
        <v>-5.7</v>
      </c>
      <c r="E99" s="1">
        <v>-0.5</v>
      </c>
    </row>
    <row r="100">
      <c r="A100" s="1" t="s">
        <v>120</v>
      </c>
      <c r="B100" s="2" t="s">
        <v>119</v>
      </c>
      <c r="C100" s="3">
        <v>0.333</v>
      </c>
      <c r="D100" s="1">
        <v>-14.0</v>
      </c>
      <c r="E100" s="1">
        <v>-1.0</v>
      </c>
    </row>
    <row r="101">
      <c r="A101" s="1" t="s">
        <v>121</v>
      </c>
      <c r="B101" s="2" t="s">
        <v>119</v>
      </c>
      <c r="C101" s="3">
        <v>0.333</v>
      </c>
      <c r="D101" s="1">
        <v>-3.8</v>
      </c>
      <c r="E101" s="1">
        <v>-1.7</v>
      </c>
    </row>
    <row r="102">
      <c r="A102" s="1" t="s">
        <v>122</v>
      </c>
      <c r="B102" s="2" t="s">
        <v>119</v>
      </c>
      <c r="C102" s="3">
        <v>0.333</v>
      </c>
      <c r="D102" s="1">
        <v>-5.8</v>
      </c>
      <c r="E102" s="4">
        <f>+0.8</f>
        <v>0.8</v>
      </c>
    </row>
    <row r="103">
      <c r="A103" s="1" t="s">
        <v>123</v>
      </c>
      <c r="B103" s="2" t="s">
        <v>119</v>
      </c>
      <c r="C103" s="3">
        <v>0.333</v>
      </c>
      <c r="D103" s="1">
        <v>0.6</v>
      </c>
      <c r="E103" s="1">
        <v>-1.1</v>
      </c>
    </row>
    <row r="104">
      <c r="A104" s="1" t="s">
        <v>124</v>
      </c>
      <c r="B104" s="2" t="s">
        <v>119</v>
      </c>
      <c r="C104" s="3">
        <v>0.333</v>
      </c>
      <c r="D104" s="1">
        <v>-2.4</v>
      </c>
      <c r="E104" s="1">
        <v>-5.1</v>
      </c>
    </row>
    <row r="105">
      <c r="A105" s="1" t="s">
        <v>125</v>
      </c>
      <c r="B105" s="2" t="s">
        <v>119</v>
      </c>
      <c r="C105" s="3">
        <v>0.333</v>
      </c>
      <c r="D105" s="1">
        <v>-8.8</v>
      </c>
      <c r="E105" s="1">
        <v>-1.6</v>
      </c>
    </row>
    <row r="106">
      <c r="A106" s="1" t="s">
        <v>126</v>
      </c>
      <c r="B106" s="2" t="s">
        <v>119</v>
      </c>
      <c r="C106" s="3">
        <v>0.333</v>
      </c>
      <c r="D106" s="1">
        <v>-5.3</v>
      </c>
      <c r="E106" s="1">
        <v>-1.9</v>
      </c>
    </row>
    <row r="107">
      <c r="A107" s="1" t="s">
        <v>127</v>
      </c>
      <c r="B107" s="2" t="s">
        <v>119</v>
      </c>
      <c r="C107" s="3">
        <v>0.333</v>
      </c>
      <c r="D107" s="1">
        <v>-11.8</v>
      </c>
      <c r="E107" s="1">
        <v>-1.8</v>
      </c>
    </row>
    <row r="108">
      <c r="A108" s="1" t="s">
        <v>128</v>
      </c>
      <c r="B108" s="2" t="s">
        <v>119</v>
      </c>
      <c r="C108" s="3">
        <v>0.333</v>
      </c>
      <c r="D108" s="1">
        <v>-6.0</v>
      </c>
      <c r="E108" s="4">
        <f>+1.1</f>
        <v>1.1</v>
      </c>
    </row>
    <row r="109">
      <c r="A109" s="1" t="s">
        <v>129</v>
      </c>
      <c r="B109" s="2" t="s">
        <v>119</v>
      </c>
      <c r="C109" s="3">
        <v>0.333</v>
      </c>
      <c r="D109" s="1">
        <v>-0.5</v>
      </c>
      <c r="E109" s="1">
        <v>-0.5</v>
      </c>
    </row>
    <row r="110">
      <c r="A110" s="1" t="s">
        <v>130</v>
      </c>
      <c r="B110" s="2" t="s">
        <v>119</v>
      </c>
      <c r="C110" s="3">
        <v>0.333</v>
      </c>
      <c r="D110" s="1">
        <v>-4.5</v>
      </c>
      <c r="E110" s="1">
        <v>-1.5</v>
      </c>
    </row>
    <row r="111">
      <c r="A111" s="1" t="s">
        <v>131</v>
      </c>
      <c r="B111" s="2" t="s">
        <v>119</v>
      </c>
      <c r="C111" s="3">
        <v>0.333</v>
      </c>
      <c r="D111" s="1">
        <v>-10.3</v>
      </c>
      <c r="E111" s="4">
        <f>+4.2</f>
        <v>4.2</v>
      </c>
    </row>
    <row r="112">
      <c r="A112" s="1" t="s">
        <v>132</v>
      </c>
      <c r="B112" s="2" t="s">
        <v>119</v>
      </c>
      <c r="C112" s="3">
        <v>0.333</v>
      </c>
      <c r="D112" s="1">
        <v>-5.3</v>
      </c>
      <c r="E112" s="1">
        <v>-3.9</v>
      </c>
    </row>
    <row r="113">
      <c r="A113" s="1" t="s">
        <v>133</v>
      </c>
      <c r="B113" s="2" t="s">
        <v>119</v>
      </c>
      <c r="C113" s="3">
        <v>0.333</v>
      </c>
      <c r="D113" s="1">
        <v>-3.0</v>
      </c>
      <c r="E113" s="1">
        <v>-0.9</v>
      </c>
    </row>
    <row r="114">
      <c r="A114" s="1" t="s">
        <v>134</v>
      </c>
      <c r="B114" s="2" t="s">
        <v>119</v>
      </c>
      <c r="C114" s="3">
        <v>0.333</v>
      </c>
      <c r="D114" s="1">
        <v>-9.1</v>
      </c>
      <c r="E114" s="1">
        <v>-3.1</v>
      </c>
    </row>
    <row r="115">
      <c r="A115" s="1" t="s">
        <v>135</v>
      </c>
      <c r="B115" s="2" t="s">
        <v>119</v>
      </c>
      <c r="C115" s="3">
        <v>0.333</v>
      </c>
      <c r="D115" s="1">
        <v>-6.8</v>
      </c>
      <c r="E115" s="1">
        <v>-1.1</v>
      </c>
    </row>
    <row r="116">
      <c r="A116" s="1" t="s">
        <v>136</v>
      </c>
      <c r="B116" s="2" t="s">
        <v>119</v>
      </c>
      <c r="C116" s="3">
        <v>0.333</v>
      </c>
      <c r="D116" s="1">
        <v>-0.9</v>
      </c>
      <c r="E116" s="1">
        <v>-4.3</v>
      </c>
    </row>
    <row r="117">
      <c r="A117" s="1" t="s">
        <v>137</v>
      </c>
      <c r="B117" s="2" t="s">
        <v>119</v>
      </c>
      <c r="C117" s="3">
        <v>0.333</v>
      </c>
      <c r="D117" s="1">
        <v>-3.9</v>
      </c>
      <c r="E117" s="1">
        <v>-4.1</v>
      </c>
    </row>
    <row r="118">
      <c r="A118" s="1" t="s">
        <v>138</v>
      </c>
      <c r="B118" s="2" t="s">
        <v>139</v>
      </c>
      <c r="C118" s="3">
        <v>0.25</v>
      </c>
      <c r="D118" s="1">
        <v>-7.3</v>
      </c>
      <c r="E118" s="1">
        <v>-3.5</v>
      </c>
    </row>
    <row r="119">
      <c r="A119" s="1" t="s">
        <v>140</v>
      </c>
      <c r="B119" s="2" t="s">
        <v>139</v>
      </c>
      <c r="C119" s="3">
        <v>0.25</v>
      </c>
      <c r="D119" s="1">
        <v>-9.9</v>
      </c>
      <c r="E119" s="4">
        <f>+0.1</f>
        <v>0.1</v>
      </c>
    </row>
    <row r="120">
      <c r="A120" s="1" t="s">
        <v>141</v>
      </c>
      <c r="B120" s="2" t="s">
        <v>139</v>
      </c>
      <c r="C120" s="3">
        <v>0.25</v>
      </c>
      <c r="D120" s="1">
        <v>-11.1</v>
      </c>
      <c r="E120" s="1">
        <v>-10.5</v>
      </c>
    </row>
    <row r="121">
      <c r="A121" s="1" t="s">
        <v>142</v>
      </c>
      <c r="B121" s="2" t="s">
        <v>139</v>
      </c>
      <c r="C121" s="3">
        <v>0.25</v>
      </c>
      <c r="D121" s="1">
        <v>-9.6</v>
      </c>
      <c r="E121" s="1">
        <v>-6.0</v>
      </c>
    </row>
    <row r="122">
      <c r="A122" s="1" t="s">
        <v>143</v>
      </c>
      <c r="B122" s="2" t="s">
        <v>139</v>
      </c>
      <c r="C122" s="3">
        <v>0.25</v>
      </c>
      <c r="D122" s="1">
        <v>-15.3</v>
      </c>
      <c r="E122" s="1">
        <v>-8.0</v>
      </c>
    </row>
    <row r="123">
      <c r="A123" s="1" t="s">
        <v>144</v>
      </c>
      <c r="B123" s="2" t="s">
        <v>139</v>
      </c>
      <c r="C123" s="3">
        <v>0.25</v>
      </c>
      <c r="D123" s="1">
        <v>-8.5</v>
      </c>
      <c r="E123" s="1">
        <v>-3.8</v>
      </c>
    </row>
    <row r="124">
      <c r="A124" s="1" t="s">
        <v>145</v>
      </c>
      <c r="B124" s="2" t="s">
        <v>139</v>
      </c>
      <c r="C124" s="3">
        <v>0.25</v>
      </c>
      <c r="D124" s="1">
        <v>-15.3</v>
      </c>
      <c r="E124" s="1">
        <v>-5.7</v>
      </c>
    </row>
    <row r="125">
      <c r="A125" s="1" t="s">
        <v>146</v>
      </c>
      <c r="B125" s="2" t="s">
        <v>139</v>
      </c>
      <c r="C125" s="3">
        <v>0.25</v>
      </c>
      <c r="D125" s="1">
        <v>-8.8</v>
      </c>
      <c r="E125" s="1">
        <v>-6.5</v>
      </c>
    </row>
    <row r="126">
      <c r="A126" s="1" t="s">
        <v>147</v>
      </c>
      <c r="B126" s="2" t="s">
        <v>139</v>
      </c>
      <c r="C126" s="3">
        <v>0.25</v>
      </c>
      <c r="D126" s="1">
        <v>-14.8</v>
      </c>
      <c r="E126" s="1">
        <v>-6.3</v>
      </c>
    </row>
    <row r="127">
      <c r="A127" s="1" t="s">
        <v>148</v>
      </c>
      <c r="B127" s="2" t="s">
        <v>149</v>
      </c>
      <c r="C127" s="3">
        <v>0.167</v>
      </c>
      <c r="D127" s="1">
        <v>-7.1</v>
      </c>
      <c r="E127" s="1">
        <v>-2.6</v>
      </c>
    </row>
    <row r="128">
      <c r="A128" s="1" t="s">
        <v>150</v>
      </c>
      <c r="B128" s="2" t="s">
        <v>149</v>
      </c>
      <c r="C128" s="3">
        <v>0.167</v>
      </c>
      <c r="D128" s="1">
        <v>-0.9</v>
      </c>
      <c r="E128" s="1">
        <v>-4.3</v>
      </c>
    </row>
    <row r="129">
      <c r="A129" s="1" t="s">
        <v>151</v>
      </c>
      <c r="B129" s="2" t="s">
        <v>149</v>
      </c>
      <c r="C129" s="3">
        <v>0.167</v>
      </c>
      <c r="D129" s="1">
        <v>-13.1</v>
      </c>
      <c r="E129" s="1">
        <v>-3.4</v>
      </c>
    </row>
    <row r="130">
      <c r="A130" s="1" t="s">
        <v>152</v>
      </c>
      <c r="B130" s="2" t="s">
        <v>149</v>
      </c>
      <c r="C130" s="3">
        <v>0.167</v>
      </c>
      <c r="D130" s="1">
        <v>-12.3</v>
      </c>
      <c r="E130" s="1">
        <v>-8.9</v>
      </c>
    </row>
    <row r="131">
      <c r="A131" s="1" t="s">
        <v>153</v>
      </c>
      <c r="B131" s="2" t="s">
        <v>149</v>
      </c>
      <c r="C131" s="3">
        <v>0.167</v>
      </c>
      <c r="D131" s="1">
        <v>-11.3</v>
      </c>
      <c r="E131" s="1">
        <v>-7.2</v>
      </c>
    </row>
    <row r="132">
      <c r="A132" s="1" t="s">
        <v>154</v>
      </c>
      <c r="B132" s="2" t="s">
        <v>149</v>
      </c>
      <c r="C132" s="3">
        <v>0.167</v>
      </c>
      <c r="D132" s="1">
        <v>-7.3</v>
      </c>
      <c r="E132" s="1">
        <v>-2.9</v>
      </c>
    </row>
    <row r="133">
      <c r="A133" s="1" t="s">
        <v>155</v>
      </c>
      <c r="B133" s="2" t="s">
        <v>149</v>
      </c>
      <c r="C133" s="3">
        <v>0.167</v>
      </c>
      <c r="D133" s="1">
        <v>-20.1</v>
      </c>
      <c r="E133" s="1">
        <v>-8.3</v>
      </c>
    </row>
    <row r="134">
      <c r="A134" s="1" t="s">
        <v>156</v>
      </c>
      <c r="B134" s="2" t="s">
        <v>157</v>
      </c>
      <c r="C134" s="3">
        <v>0.083</v>
      </c>
      <c r="D134" s="1">
        <v>-19.2</v>
      </c>
      <c r="E134" s="1">
        <v>-4.0</v>
      </c>
    </row>
    <row r="135">
      <c r="A135" s="1" t="s">
        <v>158</v>
      </c>
      <c r="B135" s="2" t="s">
        <v>157</v>
      </c>
      <c r="C135" s="3">
        <v>0.083</v>
      </c>
      <c r="D135" s="1">
        <v>-18.1</v>
      </c>
      <c r="E135" s="1">
        <v>-6.8</v>
      </c>
    </row>
    <row r="136">
      <c r="A136" s="1" t="s">
        <v>159</v>
      </c>
      <c r="B136" s="2" t="s">
        <v>157</v>
      </c>
      <c r="C136" s="3">
        <v>0.083</v>
      </c>
      <c r="D136" s="1">
        <v>-22.0</v>
      </c>
      <c r="E136" s="1">
        <v>-4.0</v>
      </c>
    </row>
    <row r="137">
      <c r="A137" s="1" t="s">
        <v>160</v>
      </c>
      <c r="B137" s="2" t="s">
        <v>161</v>
      </c>
      <c r="C137" s="3">
        <v>0.0</v>
      </c>
      <c r="D137" s="1">
        <v>-27.5</v>
      </c>
      <c r="E137" s="1">
        <v>-12.2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6" t="s">
        <v>15</v>
      </c>
      <c r="B2" s="5" t="s">
        <v>162</v>
      </c>
      <c r="C2" s="5" t="s">
        <v>163</v>
      </c>
      <c r="D2" s="5" t="s">
        <v>164</v>
      </c>
      <c r="E2" s="5" t="s">
        <v>165</v>
      </c>
    </row>
    <row r="3">
      <c r="A3" s="6" t="s">
        <v>20</v>
      </c>
      <c r="B3" s="5" t="s">
        <v>166</v>
      </c>
      <c r="C3" s="5" t="s">
        <v>167</v>
      </c>
      <c r="D3" s="5" t="s">
        <v>168</v>
      </c>
      <c r="E3" s="5">
        <f>+9.3</f>
        <v>9.3</v>
      </c>
    </row>
    <row r="4">
      <c r="A4" s="6" t="s">
        <v>9</v>
      </c>
      <c r="B4" s="5" t="s">
        <v>166</v>
      </c>
      <c r="C4" s="5" t="s">
        <v>167</v>
      </c>
      <c r="D4" s="5" t="s">
        <v>169</v>
      </c>
      <c r="E4" s="5">
        <f>+3</f>
        <v>3</v>
      </c>
    </row>
    <row r="5">
      <c r="A5" s="6" t="s">
        <v>47</v>
      </c>
      <c r="B5" s="5" t="s">
        <v>170</v>
      </c>
      <c r="C5" s="5" t="s">
        <v>171</v>
      </c>
      <c r="D5" s="5" t="s">
        <v>172</v>
      </c>
      <c r="E5" s="5">
        <f>+0.9</f>
        <v>0.9</v>
      </c>
    </row>
    <row r="6">
      <c r="A6" s="6" t="s">
        <v>85</v>
      </c>
      <c r="B6" s="5" t="s">
        <v>170</v>
      </c>
      <c r="C6" s="5" t="s">
        <v>171</v>
      </c>
      <c r="D6" s="5" t="s">
        <v>173</v>
      </c>
      <c r="E6" s="5">
        <f>+5.5</f>
        <v>5.5</v>
      </c>
    </row>
    <row r="7">
      <c r="A7" s="6" t="s">
        <v>5</v>
      </c>
      <c r="B7" s="5" t="s">
        <v>17</v>
      </c>
      <c r="C7" s="5" t="s">
        <v>174</v>
      </c>
      <c r="D7" s="5" t="s">
        <v>175</v>
      </c>
      <c r="E7" s="5">
        <f>+12.8</f>
        <v>12.8</v>
      </c>
    </row>
    <row r="8">
      <c r="A8" s="6" t="s">
        <v>61</v>
      </c>
      <c r="B8" s="5" t="s">
        <v>17</v>
      </c>
      <c r="C8" s="5" t="s">
        <v>174</v>
      </c>
      <c r="D8" s="5" t="s">
        <v>176</v>
      </c>
      <c r="E8" s="5">
        <f>+0.8</f>
        <v>0.8</v>
      </c>
    </row>
    <row r="9">
      <c r="A9" s="6" t="s">
        <v>19</v>
      </c>
      <c r="B9" s="5" t="s">
        <v>17</v>
      </c>
      <c r="C9" s="5" t="s">
        <v>174</v>
      </c>
      <c r="D9" s="5" t="s">
        <v>177</v>
      </c>
      <c r="E9" s="5">
        <f>+9.8</f>
        <v>9.8</v>
      </c>
    </row>
    <row r="10">
      <c r="A10" s="6" t="s">
        <v>91</v>
      </c>
      <c r="B10" s="5" t="s">
        <v>178</v>
      </c>
      <c r="C10" s="5" t="s">
        <v>179</v>
      </c>
      <c r="D10" s="5" t="s">
        <v>180</v>
      </c>
      <c r="E10" s="5">
        <f>+1.3</f>
        <v>1.3</v>
      </c>
    </row>
    <row r="11">
      <c r="A11" s="6" t="s">
        <v>35</v>
      </c>
      <c r="B11" s="5" t="s">
        <v>178</v>
      </c>
      <c r="C11" s="5" t="s">
        <v>179</v>
      </c>
      <c r="D11" s="5" t="s">
        <v>181</v>
      </c>
      <c r="E11" s="5">
        <f>+0.5</f>
        <v>0.5</v>
      </c>
    </row>
    <row r="12">
      <c r="A12" s="6" t="s">
        <v>50</v>
      </c>
      <c r="B12" s="5" t="s">
        <v>182</v>
      </c>
      <c r="C12" s="5" t="s">
        <v>183</v>
      </c>
      <c r="D12" s="5" t="s">
        <v>184</v>
      </c>
      <c r="E12" s="5">
        <f>+7.6</f>
        <v>7.6</v>
      </c>
    </row>
    <row r="13">
      <c r="A13" s="6" t="s">
        <v>51</v>
      </c>
      <c r="B13" s="5" t="s">
        <v>182</v>
      </c>
      <c r="C13" s="5" t="s">
        <v>183</v>
      </c>
      <c r="D13" s="5" t="s">
        <v>185</v>
      </c>
      <c r="E13" s="5">
        <f>+3</f>
        <v>3</v>
      </c>
    </row>
    <row r="14">
      <c r="A14" s="6" t="s">
        <v>7</v>
      </c>
      <c r="B14" s="5" t="s">
        <v>182</v>
      </c>
      <c r="C14" s="5" t="s">
        <v>183</v>
      </c>
      <c r="D14" s="5" t="s">
        <v>186</v>
      </c>
      <c r="E14" s="5" t="s">
        <v>187</v>
      </c>
    </row>
    <row r="15">
      <c r="A15" s="6" t="s">
        <v>57</v>
      </c>
      <c r="B15" s="5" t="s">
        <v>182</v>
      </c>
      <c r="C15" s="5" t="s">
        <v>183</v>
      </c>
      <c r="D15" s="5" t="s">
        <v>188</v>
      </c>
      <c r="E15" s="5" t="s">
        <v>189</v>
      </c>
    </row>
    <row r="16">
      <c r="A16" s="6" t="s">
        <v>30</v>
      </c>
      <c r="B16" s="5" t="s">
        <v>182</v>
      </c>
      <c r="C16" s="5" t="s">
        <v>183</v>
      </c>
      <c r="D16" s="5" t="s">
        <v>190</v>
      </c>
      <c r="E16" s="5">
        <f>+5.9</f>
        <v>5.9</v>
      </c>
    </row>
    <row r="17">
      <c r="A17" s="6" t="s">
        <v>64</v>
      </c>
      <c r="B17" s="5" t="s">
        <v>182</v>
      </c>
      <c r="C17" s="5" t="s">
        <v>183</v>
      </c>
      <c r="D17" s="5" t="s">
        <v>191</v>
      </c>
      <c r="E17" s="5">
        <f>+10.9</f>
        <v>10.9</v>
      </c>
    </row>
    <row r="18">
      <c r="A18" s="6" t="s">
        <v>105</v>
      </c>
      <c r="B18" s="5" t="s">
        <v>29</v>
      </c>
      <c r="C18" s="5" t="s">
        <v>192</v>
      </c>
      <c r="D18" s="5" t="s">
        <v>193</v>
      </c>
      <c r="E18" s="5">
        <f>+8.4</f>
        <v>8.4</v>
      </c>
    </row>
    <row r="19">
      <c r="A19" s="6" t="s">
        <v>26</v>
      </c>
      <c r="B19" s="5" t="s">
        <v>29</v>
      </c>
      <c r="C19" s="5" t="s">
        <v>192</v>
      </c>
      <c r="D19" s="5" t="s">
        <v>194</v>
      </c>
      <c r="E19" s="5">
        <f>+5.2</f>
        <v>5.2</v>
      </c>
    </row>
    <row r="20">
      <c r="A20" s="6" t="s">
        <v>54</v>
      </c>
      <c r="B20" s="5" t="s">
        <v>29</v>
      </c>
      <c r="C20" s="5" t="s">
        <v>192</v>
      </c>
      <c r="D20" s="5" t="s">
        <v>195</v>
      </c>
      <c r="E20" s="5">
        <f>+3.8</f>
        <v>3.8</v>
      </c>
    </row>
    <row r="21">
      <c r="A21" s="6" t="s">
        <v>12</v>
      </c>
      <c r="B21" s="5" t="s">
        <v>29</v>
      </c>
      <c r="C21" s="5" t="s">
        <v>192</v>
      </c>
      <c r="D21" s="5" t="s">
        <v>196</v>
      </c>
      <c r="E21" s="5">
        <f>+4.5</f>
        <v>4.5</v>
      </c>
    </row>
    <row r="22">
      <c r="A22" s="6" t="s">
        <v>55</v>
      </c>
      <c r="B22" s="5" t="s">
        <v>29</v>
      </c>
      <c r="C22" s="5" t="s">
        <v>192</v>
      </c>
      <c r="D22" s="5" t="s">
        <v>197</v>
      </c>
      <c r="E22" s="5">
        <f>+6.1</f>
        <v>6.1</v>
      </c>
    </row>
    <row r="23">
      <c r="A23" s="6" t="s">
        <v>58</v>
      </c>
      <c r="B23" s="5" t="s">
        <v>29</v>
      </c>
      <c r="C23" s="5" t="s">
        <v>192</v>
      </c>
      <c r="D23" s="5" t="s">
        <v>198</v>
      </c>
      <c r="E23" s="5" t="s">
        <v>199</v>
      </c>
    </row>
    <row r="24">
      <c r="A24" s="6" t="s">
        <v>25</v>
      </c>
      <c r="B24" s="5" t="s">
        <v>29</v>
      </c>
      <c r="C24" s="5" t="s">
        <v>192</v>
      </c>
      <c r="D24" s="5" t="s">
        <v>200</v>
      </c>
      <c r="E24" s="5">
        <f>+1.2</f>
        <v>1.2</v>
      </c>
    </row>
    <row r="25">
      <c r="A25" s="6" t="s">
        <v>147</v>
      </c>
      <c r="B25" s="5" t="s">
        <v>29</v>
      </c>
      <c r="C25" s="5" t="s">
        <v>192</v>
      </c>
      <c r="D25" s="5" t="s">
        <v>201</v>
      </c>
      <c r="E25" s="5">
        <f>+1.6</f>
        <v>1.6</v>
      </c>
    </row>
    <row r="26">
      <c r="A26" s="6" t="s">
        <v>155</v>
      </c>
      <c r="B26" s="5" t="s">
        <v>29</v>
      </c>
      <c r="C26" s="5" t="s">
        <v>192</v>
      </c>
      <c r="D26" s="5" t="s">
        <v>202</v>
      </c>
      <c r="E26" s="5">
        <f>+2.5</f>
        <v>2.5</v>
      </c>
    </row>
    <row r="27">
      <c r="A27" s="6" t="s">
        <v>93</v>
      </c>
      <c r="B27" s="5" t="s">
        <v>203</v>
      </c>
      <c r="C27" s="5" t="s">
        <v>204</v>
      </c>
      <c r="D27" s="5" t="s">
        <v>205</v>
      </c>
      <c r="E27" s="5" t="s">
        <v>206</v>
      </c>
    </row>
    <row r="28">
      <c r="A28" s="6" t="s">
        <v>81</v>
      </c>
      <c r="B28" s="5" t="s">
        <v>203</v>
      </c>
      <c r="C28" s="5" t="s">
        <v>204</v>
      </c>
      <c r="D28" s="5" t="s">
        <v>207</v>
      </c>
      <c r="E28" s="5" t="s">
        <v>208</v>
      </c>
    </row>
    <row r="29">
      <c r="A29" s="6" t="s">
        <v>104</v>
      </c>
      <c r="B29" s="5" t="s">
        <v>46</v>
      </c>
      <c r="C29" s="5" t="s">
        <v>209</v>
      </c>
      <c r="D29" s="5" t="s">
        <v>210</v>
      </c>
      <c r="E29" s="5">
        <f>+4.7</f>
        <v>4.7</v>
      </c>
    </row>
    <row r="30">
      <c r="A30" s="6" t="s">
        <v>123</v>
      </c>
      <c r="B30" s="5" t="s">
        <v>46</v>
      </c>
      <c r="C30" s="5" t="s">
        <v>209</v>
      </c>
      <c r="D30" s="5" t="s">
        <v>211</v>
      </c>
      <c r="E30" s="5">
        <f>+7.5</f>
        <v>7.5</v>
      </c>
    </row>
    <row r="31">
      <c r="A31" s="6" t="s">
        <v>75</v>
      </c>
      <c r="B31" s="5" t="s">
        <v>46</v>
      </c>
      <c r="C31" s="5" t="s">
        <v>209</v>
      </c>
      <c r="D31" s="5" t="s">
        <v>212</v>
      </c>
      <c r="E31" s="5" t="s">
        <v>213</v>
      </c>
    </row>
    <row r="32">
      <c r="A32" s="6" t="s">
        <v>28</v>
      </c>
      <c r="B32" s="5" t="s">
        <v>46</v>
      </c>
      <c r="C32" s="5" t="s">
        <v>209</v>
      </c>
      <c r="D32" s="5" t="s">
        <v>214</v>
      </c>
      <c r="E32" s="5" t="s">
        <v>215</v>
      </c>
    </row>
    <row r="33">
      <c r="A33" s="6" t="s">
        <v>92</v>
      </c>
      <c r="B33" s="5" t="s">
        <v>46</v>
      </c>
      <c r="C33" s="5" t="s">
        <v>209</v>
      </c>
      <c r="D33" s="5" t="s">
        <v>216</v>
      </c>
      <c r="E33" s="5" t="s">
        <v>217</v>
      </c>
    </row>
    <row r="34">
      <c r="A34" s="6" t="s">
        <v>142</v>
      </c>
      <c r="B34" s="5" t="s">
        <v>46</v>
      </c>
      <c r="C34" s="5" t="s">
        <v>209</v>
      </c>
      <c r="D34" s="5" t="s">
        <v>218</v>
      </c>
      <c r="E34" s="5">
        <f>+6.8</f>
        <v>6.8</v>
      </c>
    </row>
    <row r="35">
      <c r="A35" s="6" t="s">
        <v>60</v>
      </c>
      <c r="B35" s="5" t="s">
        <v>46</v>
      </c>
      <c r="C35" s="5" t="s">
        <v>209</v>
      </c>
      <c r="D35" s="5" t="s">
        <v>193</v>
      </c>
      <c r="E35" s="5">
        <f>+0.7</f>
        <v>0.7</v>
      </c>
    </row>
    <row r="36">
      <c r="A36" s="6" t="s">
        <v>62</v>
      </c>
      <c r="B36" s="5" t="s">
        <v>46</v>
      </c>
      <c r="C36" s="5" t="s">
        <v>209</v>
      </c>
      <c r="D36" s="5" t="s">
        <v>211</v>
      </c>
      <c r="E36" s="5">
        <f>+4</f>
        <v>4</v>
      </c>
    </row>
    <row r="37">
      <c r="A37" s="6" t="s">
        <v>70</v>
      </c>
      <c r="B37" s="5" t="s">
        <v>46</v>
      </c>
      <c r="C37" s="5" t="s">
        <v>209</v>
      </c>
      <c r="D37" s="5" t="s">
        <v>219</v>
      </c>
      <c r="E37" s="5">
        <f>+2.3</f>
        <v>2.3</v>
      </c>
    </row>
    <row r="38">
      <c r="A38" s="6" t="s">
        <v>43</v>
      </c>
      <c r="B38" s="5" t="s">
        <v>46</v>
      </c>
      <c r="C38" s="5" t="s">
        <v>209</v>
      </c>
      <c r="D38" s="5" t="s">
        <v>193</v>
      </c>
      <c r="E38" s="5">
        <f>+7.5</f>
        <v>7.5</v>
      </c>
    </row>
    <row r="39">
      <c r="A39" s="6" t="s">
        <v>11</v>
      </c>
      <c r="B39" s="5" t="s">
        <v>46</v>
      </c>
      <c r="C39" s="5" t="s">
        <v>209</v>
      </c>
      <c r="D39" s="5" t="s">
        <v>220</v>
      </c>
      <c r="E39" s="5">
        <f>+1.7</f>
        <v>1.7</v>
      </c>
    </row>
    <row r="40">
      <c r="A40" s="6" t="s">
        <v>136</v>
      </c>
      <c r="B40" s="5" t="s">
        <v>49</v>
      </c>
      <c r="C40" s="5" t="s">
        <v>221</v>
      </c>
      <c r="D40" s="5" t="s">
        <v>222</v>
      </c>
      <c r="E40" s="5" t="s">
        <v>223</v>
      </c>
    </row>
    <row r="41">
      <c r="A41" s="6" t="s">
        <v>87</v>
      </c>
      <c r="B41" s="5" t="s">
        <v>224</v>
      </c>
      <c r="C41" s="5" t="s">
        <v>225</v>
      </c>
      <c r="D41" s="5" t="s">
        <v>222</v>
      </c>
      <c r="E41" s="5">
        <f>+2.5</f>
        <v>2.5</v>
      </c>
    </row>
    <row r="42">
      <c r="A42" s="6" t="s">
        <v>16</v>
      </c>
      <c r="B42" s="5" t="s">
        <v>224</v>
      </c>
      <c r="C42" s="5" t="s">
        <v>225</v>
      </c>
      <c r="D42" s="5" t="s">
        <v>185</v>
      </c>
      <c r="E42" s="5">
        <f>+6.1</f>
        <v>6.1</v>
      </c>
    </row>
    <row r="43">
      <c r="A43" s="6" t="s">
        <v>71</v>
      </c>
      <c r="B43" s="5" t="s">
        <v>224</v>
      </c>
      <c r="C43" s="5" t="s">
        <v>225</v>
      </c>
      <c r="D43" s="5" t="s">
        <v>226</v>
      </c>
      <c r="E43" s="5">
        <f>+5.2</f>
        <v>5.2</v>
      </c>
    </row>
    <row r="44">
      <c r="A44" s="6" t="s">
        <v>138</v>
      </c>
      <c r="B44" s="5" t="s">
        <v>69</v>
      </c>
      <c r="C44" s="5" t="s">
        <v>227</v>
      </c>
      <c r="D44" s="5" t="s">
        <v>228</v>
      </c>
      <c r="E44" s="5">
        <f>+0.3</f>
        <v>0.3</v>
      </c>
    </row>
    <row r="45">
      <c r="A45" s="6" t="s">
        <v>48</v>
      </c>
      <c r="B45" s="5" t="s">
        <v>69</v>
      </c>
      <c r="C45" s="5" t="s">
        <v>227</v>
      </c>
      <c r="D45" s="5" t="s">
        <v>229</v>
      </c>
      <c r="E45" s="5" t="s">
        <v>199</v>
      </c>
    </row>
    <row r="46">
      <c r="A46" s="6" t="s">
        <v>124</v>
      </c>
      <c r="B46" s="5" t="s">
        <v>69</v>
      </c>
      <c r="C46" s="5" t="s">
        <v>227</v>
      </c>
      <c r="D46" s="5" t="s">
        <v>230</v>
      </c>
      <c r="E46" s="5">
        <f>+5.5</f>
        <v>5.5</v>
      </c>
    </row>
    <row r="47">
      <c r="A47" s="6" t="s">
        <v>76</v>
      </c>
      <c r="B47" s="5" t="s">
        <v>69</v>
      </c>
      <c r="C47" s="5" t="s">
        <v>227</v>
      </c>
      <c r="D47" s="5" t="s">
        <v>194</v>
      </c>
      <c r="E47" s="5">
        <f>+6.4</f>
        <v>6.4</v>
      </c>
    </row>
    <row r="48">
      <c r="A48" s="6" t="s">
        <v>33</v>
      </c>
      <c r="B48" s="5" t="s">
        <v>69</v>
      </c>
      <c r="C48" s="5" t="s">
        <v>227</v>
      </c>
      <c r="D48" s="5" t="s">
        <v>231</v>
      </c>
      <c r="E48" s="5">
        <f>+2.4</f>
        <v>2.4</v>
      </c>
    </row>
    <row r="49">
      <c r="A49" s="6" t="s">
        <v>56</v>
      </c>
      <c r="B49" s="5" t="s">
        <v>69</v>
      </c>
      <c r="C49" s="5" t="s">
        <v>227</v>
      </c>
      <c r="D49" s="5" t="s">
        <v>218</v>
      </c>
      <c r="E49" s="5">
        <f>+4.1</f>
        <v>4.1</v>
      </c>
    </row>
    <row r="50">
      <c r="A50" s="6" t="s">
        <v>14</v>
      </c>
      <c r="B50" s="5" t="s">
        <v>69</v>
      </c>
      <c r="C50" s="5" t="s">
        <v>227</v>
      </c>
      <c r="D50" s="5" t="s">
        <v>232</v>
      </c>
      <c r="E50" s="5" t="s">
        <v>233</v>
      </c>
    </row>
    <row r="51">
      <c r="A51" s="6" t="s">
        <v>10</v>
      </c>
      <c r="B51" s="5" t="s">
        <v>69</v>
      </c>
      <c r="C51" s="5" t="s">
        <v>227</v>
      </c>
      <c r="D51" s="5" t="s">
        <v>234</v>
      </c>
      <c r="E51" s="5" t="s">
        <v>235</v>
      </c>
    </row>
    <row r="52">
      <c r="A52" s="6" t="s">
        <v>113</v>
      </c>
      <c r="B52" s="5" t="s">
        <v>69</v>
      </c>
      <c r="C52" s="5" t="s">
        <v>227</v>
      </c>
      <c r="D52" s="5" t="s">
        <v>236</v>
      </c>
      <c r="E52" s="5">
        <f>+4.5</f>
        <v>4.5</v>
      </c>
    </row>
    <row r="53">
      <c r="A53" s="6" t="s">
        <v>59</v>
      </c>
      <c r="B53" s="5" t="s">
        <v>69</v>
      </c>
      <c r="C53" s="5" t="s">
        <v>227</v>
      </c>
      <c r="D53" s="5" t="s">
        <v>237</v>
      </c>
      <c r="E53" s="5">
        <f>+1.4</f>
        <v>1.4</v>
      </c>
    </row>
    <row r="54">
      <c r="A54" s="6" t="s">
        <v>95</v>
      </c>
      <c r="B54" s="5" t="s">
        <v>69</v>
      </c>
      <c r="C54" s="5" t="s">
        <v>227</v>
      </c>
      <c r="D54" s="5" t="s">
        <v>238</v>
      </c>
      <c r="E54" s="5" t="s">
        <v>239</v>
      </c>
    </row>
    <row r="55">
      <c r="A55" s="6" t="s">
        <v>152</v>
      </c>
      <c r="B55" s="5" t="s">
        <v>69</v>
      </c>
      <c r="C55" s="5" t="s">
        <v>227</v>
      </c>
      <c r="D55" s="5" t="s">
        <v>240</v>
      </c>
      <c r="E55" s="5" t="s">
        <v>213</v>
      </c>
    </row>
    <row r="56">
      <c r="A56" s="6" t="s">
        <v>96</v>
      </c>
      <c r="B56" s="5" t="s">
        <v>69</v>
      </c>
      <c r="C56" s="5" t="s">
        <v>227</v>
      </c>
      <c r="D56" s="5" t="s">
        <v>241</v>
      </c>
      <c r="E56" s="5" t="s">
        <v>215</v>
      </c>
    </row>
    <row r="57">
      <c r="A57" s="6" t="s">
        <v>98</v>
      </c>
      <c r="B57" s="5" t="s">
        <v>69</v>
      </c>
      <c r="C57" s="5" t="s">
        <v>227</v>
      </c>
      <c r="D57" s="5" t="s">
        <v>242</v>
      </c>
      <c r="E57" s="5" t="s">
        <v>215</v>
      </c>
    </row>
    <row r="58">
      <c r="A58" s="6" t="s">
        <v>99</v>
      </c>
      <c r="B58" s="5" t="s">
        <v>69</v>
      </c>
      <c r="C58" s="5" t="s">
        <v>227</v>
      </c>
      <c r="D58" s="5" t="s">
        <v>243</v>
      </c>
      <c r="E58" s="5">
        <f>+2.5</f>
        <v>2.5</v>
      </c>
    </row>
    <row r="59">
      <c r="A59" s="6" t="s">
        <v>67</v>
      </c>
      <c r="B59" s="5" t="s">
        <v>244</v>
      </c>
      <c r="C59" s="5" t="s">
        <v>245</v>
      </c>
      <c r="D59" s="5" t="s">
        <v>246</v>
      </c>
      <c r="E59" s="5" t="s">
        <v>247</v>
      </c>
    </row>
    <row r="60">
      <c r="A60" s="6" t="s">
        <v>121</v>
      </c>
      <c r="B60" s="5" t="s">
        <v>88</v>
      </c>
      <c r="C60" s="5" t="s">
        <v>248</v>
      </c>
      <c r="D60" s="5" t="s">
        <v>249</v>
      </c>
      <c r="E60" s="5">
        <f>+0.6</f>
        <v>0.6</v>
      </c>
    </row>
    <row r="61">
      <c r="A61" s="6" t="s">
        <v>141</v>
      </c>
      <c r="B61" s="5" t="s">
        <v>88</v>
      </c>
      <c r="C61" s="5" t="s">
        <v>248</v>
      </c>
      <c r="D61" s="5" t="s">
        <v>250</v>
      </c>
      <c r="E61" s="5">
        <f>+1.5</f>
        <v>1.5</v>
      </c>
    </row>
    <row r="62">
      <c r="A62" s="6" t="s">
        <v>22</v>
      </c>
      <c r="B62" s="5" t="s">
        <v>88</v>
      </c>
      <c r="C62" s="5" t="s">
        <v>248</v>
      </c>
      <c r="D62" s="5" t="s">
        <v>251</v>
      </c>
      <c r="E62" s="5">
        <f>+7.9</f>
        <v>7.9</v>
      </c>
    </row>
    <row r="63">
      <c r="A63" s="6" t="s">
        <v>150</v>
      </c>
      <c r="B63" s="5" t="s">
        <v>88</v>
      </c>
      <c r="C63" s="5" t="s">
        <v>248</v>
      </c>
      <c r="D63" s="5" t="s">
        <v>252</v>
      </c>
      <c r="E63" s="5">
        <f>+2.8</f>
        <v>2.8</v>
      </c>
    </row>
    <row r="64">
      <c r="A64" s="6" t="s">
        <v>77</v>
      </c>
      <c r="B64" s="5" t="s">
        <v>88</v>
      </c>
      <c r="C64" s="5" t="s">
        <v>248</v>
      </c>
      <c r="D64" s="5" t="s">
        <v>253</v>
      </c>
      <c r="E64" s="5" t="s">
        <v>254</v>
      </c>
    </row>
    <row r="65">
      <c r="A65" s="6" t="s">
        <v>37</v>
      </c>
      <c r="B65" s="5" t="s">
        <v>88</v>
      </c>
      <c r="C65" s="5" t="s">
        <v>248</v>
      </c>
      <c r="D65" s="5" t="s">
        <v>255</v>
      </c>
      <c r="E65" s="5">
        <f>+0.1</f>
        <v>0.1</v>
      </c>
    </row>
    <row r="66">
      <c r="A66" s="6" t="s">
        <v>41</v>
      </c>
      <c r="B66" s="5" t="s">
        <v>88</v>
      </c>
      <c r="C66" s="5" t="s">
        <v>248</v>
      </c>
      <c r="D66" s="5" t="s">
        <v>256</v>
      </c>
      <c r="E66" s="5">
        <f>+0.3</f>
        <v>0.3</v>
      </c>
    </row>
    <row r="67">
      <c r="A67" s="6" t="s">
        <v>42</v>
      </c>
      <c r="B67" s="5" t="s">
        <v>88</v>
      </c>
      <c r="C67" s="5" t="s">
        <v>248</v>
      </c>
      <c r="D67" s="5" t="s">
        <v>202</v>
      </c>
      <c r="E67" s="5">
        <f>+1.7</f>
        <v>1.7</v>
      </c>
    </row>
    <row r="68">
      <c r="A68" s="6" t="s">
        <v>66</v>
      </c>
      <c r="B68" s="5" t="s">
        <v>88</v>
      </c>
      <c r="C68" s="5" t="s">
        <v>248</v>
      </c>
      <c r="D68" s="5" t="s">
        <v>257</v>
      </c>
      <c r="E68" s="5">
        <f>+1.2</f>
        <v>1.2</v>
      </c>
    </row>
    <row r="69">
      <c r="A69" s="6" t="s">
        <v>154</v>
      </c>
      <c r="B69" s="5" t="s">
        <v>88</v>
      </c>
      <c r="C69" s="5" t="s">
        <v>248</v>
      </c>
      <c r="D69" s="5" t="s">
        <v>258</v>
      </c>
      <c r="E69" s="5">
        <f>+5.9</f>
        <v>5.9</v>
      </c>
    </row>
    <row r="70">
      <c r="A70" s="6" t="s">
        <v>116</v>
      </c>
      <c r="B70" s="5" t="s">
        <v>88</v>
      </c>
      <c r="C70" s="5" t="s">
        <v>248</v>
      </c>
      <c r="D70" s="5" t="s">
        <v>259</v>
      </c>
      <c r="E70" s="5">
        <f>+1.3</f>
        <v>1.3</v>
      </c>
    </row>
    <row r="71">
      <c r="A71" s="6" t="s">
        <v>137</v>
      </c>
      <c r="B71" s="5" t="s">
        <v>88</v>
      </c>
      <c r="C71" s="5" t="s">
        <v>248</v>
      </c>
      <c r="D71" s="5" t="s">
        <v>194</v>
      </c>
      <c r="E71" s="5">
        <f>+4.5</f>
        <v>4.5</v>
      </c>
    </row>
    <row r="72">
      <c r="A72" s="6" t="s">
        <v>101</v>
      </c>
      <c r="B72" s="5" t="s">
        <v>88</v>
      </c>
      <c r="C72" s="5" t="s">
        <v>248</v>
      </c>
      <c r="D72" s="5" t="s">
        <v>260</v>
      </c>
      <c r="E72" s="5" t="s">
        <v>199</v>
      </c>
    </row>
    <row r="73">
      <c r="A73" s="6" t="s">
        <v>45</v>
      </c>
      <c r="B73" s="5" t="s">
        <v>261</v>
      </c>
      <c r="C73" s="5" t="s">
        <v>262</v>
      </c>
      <c r="D73" s="5" t="s">
        <v>263</v>
      </c>
      <c r="E73" s="5" t="s">
        <v>264</v>
      </c>
    </row>
    <row r="74">
      <c r="A74" s="6" t="s">
        <v>53</v>
      </c>
      <c r="B74" s="5" t="s">
        <v>261</v>
      </c>
      <c r="C74" s="5" t="s">
        <v>262</v>
      </c>
      <c r="D74" s="5" t="s">
        <v>265</v>
      </c>
      <c r="E74" s="5" t="s">
        <v>264</v>
      </c>
    </row>
    <row r="75">
      <c r="A75" s="6" t="s">
        <v>23</v>
      </c>
      <c r="B75" s="5" t="s">
        <v>261</v>
      </c>
      <c r="C75" s="5" t="s">
        <v>262</v>
      </c>
      <c r="D75" s="5" t="s">
        <v>210</v>
      </c>
      <c r="E75" s="5" t="s">
        <v>239</v>
      </c>
    </row>
    <row r="76">
      <c r="A76" s="6" t="s">
        <v>18</v>
      </c>
      <c r="B76" s="5" t="s">
        <v>261</v>
      </c>
      <c r="C76" s="5" t="s">
        <v>262</v>
      </c>
      <c r="D76" s="5" t="s">
        <v>254</v>
      </c>
      <c r="E76" s="5" t="s">
        <v>266</v>
      </c>
    </row>
    <row r="77">
      <c r="A77" s="6" t="s">
        <v>63</v>
      </c>
      <c r="B77" s="5" t="s">
        <v>261</v>
      </c>
      <c r="C77" s="5" t="s">
        <v>262</v>
      </c>
      <c r="D77" s="5" t="s">
        <v>266</v>
      </c>
      <c r="E77" s="5" t="s">
        <v>267</v>
      </c>
    </row>
    <row r="78">
      <c r="A78" s="6" t="s">
        <v>80</v>
      </c>
      <c r="B78" s="5" t="s">
        <v>261</v>
      </c>
      <c r="C78" s="5" t="s">
        <v>262</v>
      </c>
      <c r="D78" s="5" t="s">
        <v>234</v>
      </c>
      <c r="E78" s="5" t="s">
        <v>268</v>
      </c>
    </row>
    <row r="79">
      <c r="A79" s="6" t="s">
        <v>82</v>
      </c>
      <c r="B79" s="5" t="s">
        <v>261</v>
      </c>
      <c r="C79" s="5" t="s">
        <v>262</v>
      </c>
      <c r="D79" s="5" t="s">
        <v>269</v>
      </c>
      <c r="E79" s="5" t="s">
        <v>270</v>
      </c>
    </row>
    <row r="80">
      <c r="A80" s="6" t="s">
        <v>132</v>
      </c>
      <c r="B80" s="5" t="s">
        <v>261</v>
      </c>
      <c r="C80" s="5" t="s">
        <v>262</v>
      </c>
      <c r="D80" s="5" t="s">
        <v>234</v>
      </c>
      <c r="E80" s="5" t="s">
        <v>267</v>
      </c>
    </row>
    <row r="81">
      <c r="A81" s="6" t="s">
        <v>146</v>
      </c>
      <c r="B81" s="5" t="s">
        <v>261</v>
      </c>
      <c r="C81" s="5" t="s">
        <v>262</v>
      </c>
      <c r="D81" s="5" t="s">
        <v>222</v>
      </c>
      <c r="E81" s="5">
        <f>+0.7</f>
        <v>0.7</v>
      </c>
    </row>
    <row r="82">
      <c r="A82" s="6" t="s">
        <v>134</v>
      </c>
      <c r="B82" s="5" t="s">
        <v>261</v>
      </c>
      <c r="C82" s="5" t="s">
        <v>262</v>
      </c>
      <c r="D82" s="5" t="s">
        <v>271</v>
      </c>
      <c r="E82" s="5" t="s">
        <v>271</v>
      </c>
    </row>
    <row r="83">
      <c r="A83" s="6" t="s">
        <v>100</v>
      </c>
      <c r="B83" s="5" t="s">
        <v>261</v>
      </c>
      <c r="C83" s="5" t="s">
        <v>262</v>
      </c>
      <c r="D83" s="5" t="s">
        <v>272</v>
      </c>
      <c r="E83" s="5" t="s">
        <v>273</v>
      </c>
    </row>
    <row r="84">
      <c r="A84" s="6" t="s">
        <v>117</v>
      </c>
      <c r="B84" s="5" t="s">
        <v>274</v>
      </c>
      <c r="C84" s="5" t="s">
        <v>275</v>
      </c>
      <c r="D84" s="5" t="s">
        <v>238</v>
      </c>
      <c r="E84" s="5" t="s">
        <v>276</v>
      </c>
    </row>
    <row r="85">
      <c r="A85" s="6" t="s">
        <v>118</v>
      </c>
      <c r="B85" s="5" t="s">
        <v>103</v>
      </c>
      <c r="C85" s="5" t="s">
        <v>277</v>
      </c>
      <c r="D85" s="5" t="s">
        <v>278</v>
      </c>
      <c r="E85" s="5" t="s">
        <v>208</v>
      </c>
    </row>
    <row r="86">
      <c r="A86" s="6" t="s">
        <v>52</v>
      </c>
      <c r="B86" s="5" t="s">
        <v>103</v>
      </c>
      <c r="C86" s="5" t="s">
        <v>277</v>
      </c>
      <c r="D86" s="5" t="s">
        <v>279</v>
      </c>
      <c r="E86" s="5" t="s">
        <v>206</v>
      </c>
    </row>
    <row r="87">
      <c r="A87" s="6" t="s">
        <v>110</v>
      </c>
      <c r="B87" s="5" t="s">
        <v>103</v>
      </c>
      <c r="C87" s="5" t="s">
        <v>277</v>
      </c>
      <c r="D87" s="5" t="s">
        <v>280</v>
      </c>
      <c r="E87" s="5" t="s">
        <v>266</v>
      </c>
    </row>
    <row r="88">
      <c r="A88" s="6" t="s">
        <v>125</v>
      </c>
      <c r="B88" s="5" t="s">
        <v>103</v>
      </c>
      <c r="C88" s="5" t="s">
        <v>277</v>
      </c>
      <c r="D88" s="5" t="s">
        <v>189</v>
      </c>
      <c r="E88" s="5" t="s">
        <v>281</v>
      </c>
    </row>
    <row r="89">
      <c r="A89" s="6" t="s">
        <v>126</v>
      </c>
      <c r="B89" s="5" t="s">
        <v>103</v>
      </c>
      <c r="C89" s="5" t="s">
        <v>277</v>
      </c>
      <c r="D89" s="5" t="s">
        <v>282</v>
      </c>
      <c r="E89" s="5" t="s">
        <v>283</v>
      </c>
    </row>
    <row r="90">
      <c r="A90" s="6" t="s">
        <v>112</v>
      </c>
      <c r="B90" s="5" t="s">
        <v>103</v>
      </c>
      <c r="C90" s="5" t="s">
        <v>277</v>
      </c>
      <c r="D90" s="5" t="s">
        <v>284</v>
      </c>
      <c r="E90" s="5" t="s">
        <v>254</v>
      </c>
    </row>
    <row r="91">
      <c r="A91" s="6" t="s">
        <v>78</v>
      </c>
      <c r="B91" s="5" t="s">
        <v>103</v>
      </c>
      <c r="C91" s="5" t="s">
        <v>277</v>
      </c>
      <c r="D91" s="5" t="s">
        <v>285</v>
      </c>
      <c r="E91" s="5" t="s">
        <v>281</v>
      </c>
    </row>
    <row r="92">
      <c r="A92" s="6" t="s">
        <v>143</v>
      </c>
      <c r="B92" s="5" t="s">
        <v>103</v>
      </c>
      <c r="C92" s="5" t="s">
        <v>277</v>
      </c>
      <c r="D92" s="5" t="s">
        <v>286</v>
      </c>
      <c r="E92" s="5">
        <f>+3</f>
        <v>3</v>
      </c>
    </row>
    <row r="93">
      <c r="A93" s="6" t="s">
        <v>129</v>
      </c>
      <c r="B93" s="5" t="s">
        <v>103</v>
      </c>
      <c r="C93" s="5" t="s">
        <v>277</v>
      </c>
      <c r="D93" s="5" t="s">
        <v>287</v>
      </c>
      <c r="E93" s="5" t="s">
        <v>288</v>
      </c>
    </row>
    <row r="94">
      <c r="A94" s="6" t="s">
        <v>38</v>
      </c>
      <c r="B94" s="5" t="s">
        <v>103</v>
      </c>
      <c r="C94" s="5" t="s">
        <v>277</v>
      </c>
      <c r="D94" s="5" t="s">
        <v>270</v>
      </c>
      <c r="E94" s="5">
        <f>+0.7</f>
        <v>0.7</v>
      </c>
    </row>
    <row r="95">
      <c r="A95" s="6" t="s">
        <v>24</v>
      </c>
      <c r="B95" s="5" t="s">
        <v>103</v>
      </c>
      <c r="C95" s="5" t="s">
        <v>277</v>
      </c>
      <c r="D95" s="5" t="s">
        <v>289</v>
      </c>
      <c r="E95" s="5" t="s">
        <v>213</v>
      </c>
    </row>
    <row r="96">
      <c r="A96" s="6" t="s">
        <v>153</v>
      </c>
      <c r="B96" s="5" t="s">
        <v>103</v>
      </c>
      <c r="C96" s="5" t="s">
        <v>277</v>
      </c>
      <c r="D96" s="5" t="s">
        <v>290</v>
      </c>
      <c r="E96" s="5" t="s">
        <v>291</v>
      </c>
    </row>
    <row r="97">
      <c r="A97" s="6" t="s">
        <v>145</v>
      </c>
      <c r="B97" s="5" t="s">
        <v>103</v>
      </c>
      <c r="C97" s="5" t="s">
        <v>277</v>
      </c>
      <c r="D97" s="5" t="s">
        <v>282</v>
      </c>
      <c r="E97" s="5">
        <f>+0.6</f>
        <v>0.6</v>
      </c>
    </row>
    <row r="98">
      <c r="A98" s="6" t="s">
        <v>31</v>
      </c>
      <c r="B98" s="5" t="s">
        <v>103</v>
      </c>
      <c r="C98" s="5" t="s">
        <v>277</v>
      </c>
      <c r="D98" s="5" t="s">
        <v>292</v>
      </c>
      <c r="E98" s="5" t="s">
        <v>272</v>
      </c>
    </row>
    <row r="99">
      <c r="A99" s="6" t="s">
        <v>44</v>
      </c>
      <c r="B99" s="5" t="s">
        <v>103</v>
      </c>
      <c r="C99" s="5" t="s">
        <v>277</v>
      </c>
      <c r="D99" s="5" t="s">
        <v>293</v>
      </c>
      <c r="E99" s="5">
        <f>+4.5</f>
        <v>4.5</v>
      </c>
    </row>
    <row r="100">
      <c r="A100" s="6" t="s">
        <v>159</v>
      </c>
      <c r="B100" s="5" t="s">
        <v>103</v>
      </c>
      <c r="C100" s="5" t="s">
        <v>277</v>
      </c>
      <c r="D100" s="5" t="s">
        <v>294</v>
      </c>
      <c r="E100" s="5" t="s">
        <v>295</v>
      </c>
    </row>
    <row r="101">
      <c r="A101" s="6" t="s">
        <v>74</v>
      </c>
      <c r="B101" s="5" t="s">
        <v>296</v>
      </c>
      <c r="C101" s="5" t="s">
        <v>297</v>
      </c>
      <c r="D101" s="5" t="s">
        <v>298</v>
      </c>
      <c r="E101" s="5">
        <f>+3.3</f>
        <v>3.3</v>
      </c>
    </row>
    <row r="102">
      <c r="A102" s="6" t="s">
        <v>72</v>
      </c>
      <c r="B102" s="5" t="s">
        <v>119</v>
      </c>
      <c r="C102" s="5" t="s">
        <v>299</v>
      </c>
      <c r="D102" s="5" t="s">
        <v>300</v>
      </c>
      <c r="E102" s="5" t="s">
        <v>267</v>
      </c>
    </row>
    <row r="103">
      <c r="A103" s="6" t="s">
        <v>102</v>
      </c>
      <c r="B103" s="5" t="s">
        <v>119</v>
      </c>
      <c r="C103" s="5" t="s">
        <v>299</v>
      </c>
      <c r="D103" s="5" t="s">
        <v>301</v>
      </c>
      <c r="E103" s="5" t="s">
        <v>266</v>
      </c>
    </row>
    <row r="104">
      <c r="A104" s="6" t="s">
        <v>106</v>
      </c>
      <c r="B104" s="5" t="s">
        <v>119</v>
      </c>
      <c r="C104" s="5" t="s">
        <v>299</v>
      </c>
      <c r="D104" s="5" t="s">
        <v>259</v>
      </c>
      <c r="E104" s="5" t="s">
        <v>295</v>
      </c>
    </row>
    <row r="105">
      <c r="A105" s="6" t="s">
        <v>108</v>
      </c>
      <c r="B105" s="5" t="s">
        <v>119</v>
      </c>
      <c r="C105" s="5" t="s">
        <v>299</v>
      </c>
      <c r="D105" s="5" t="s">
        <v>302</v>
      </c>
      <c r="E105" s="5" t="s">
        <v>303</v>
      </c>
    </row>
    <row r="106">
      <c r="A106" s="6" t="s">
        <v>109</v>
      </c>
      <c r="B106" s="5" t="s">
        <v>119</v>
      </c>
      <c r="C106" s="5" t="s">
        <v>299</v>
      </c>
      <c r="D106" s="5" t="s">
        <v>217</v>
      </c>
      <c r="E106" s="5" t="s">
        <v>270</v>
      </c>
    </row>
    <row r="107">
      <c r="A107" s="6" t="s">
        <v>89</v>
      </c>
      <c r="B107" s="5" t="s">
        <v>119</v>
      </c>
      <c r="C107" s="5" t="s">
        <v>299</v>
      </c>
      <c r="D107" s="5" t="s">
        <v>304</v>
      </c>
      <c r="E107" s="5" t="s">
        <v>288</v>
      </c>
    </row>
    <row r="108">
      <c r="A108" s="6" t="s">
        <v>36</v>
      </c>
      <c r="B108" s="5" t="s">
        <v>119</v>
      </c>
      <c r="C108" s="5" t="s">
        <v>299</v>
      </c>
      <c r="D108" s="5" t="s">
        <v>305</v>
      </c>
      <c r="E108" s="5" t="s">
        <v>206</v>
      </c>
    </row>
    <row r="109">
      <c r="A109" s="6" t="s">
        <v>94</v>
      </c>
      <c r="B109" s="5" t="s">
        <v>119</v>
      </c>
      <c r="C109" s="5" t="s">
        <v>299</v>
      </c>
      <c r="D109" s="5" t="s">
        <v>306</v>
      </c>
      <c r="E109" s="5">
        <f>+0.6</f>
        <v>0.6</v>
      </c>
    </row>
    <row r="110">
      <c r="A110" s="6" t="s">
        <v>68</v>
      </c>
      <c r="B110" s="5" t="s">
        <v>119</v>
      </c>
      <c r="C110" s="5" t="s">
        <v>299</v>
      </c>
      <c r="D110" s="5" t="s">
        <v>263</v>
      </c>
      <c r="E110" s="5">
        <f>+0.9</f>
        <v>0.9</v>
      </c>
    </row>
    <row r="111">
      <c r="A111" s="6" t="s">
        <v>40</v>
      </c>
      <c r="B111" s="5" t="s">
        <v>119</v>
      </c>
      <c r="C111" s="5" t="s">
        <v>299</v>
      </c>
      <c r="D111" s="5" t="s">
        <v>307</v>
      </c>
      <c r="E111" s="5" t="s">
        <v>308</v>
      </c>
    </row>
    <row r="112">
      <c r="A112" s="6" t="s">
        <v>65</v>
      </c>
      <c r="B112" s="5" t="s">
        <v>119</v>
      </c>
      <c r="C112" s="5" t="s">
        <v>299</v>
      </c>
      <c r="D112" s="5" t="s">
        <v>282</v>
      </c>
      <c r="E112" s="5" t="s">
        <v>247</v>
      </c>
    </row>
    <row r="113">
      <c r="A113" s="6" t="s">
        <v>133</v>
      </c>
      <c r="B113" s="5" t="s">
        <v>119</v>
      </c>
      <c r="C113" s="5" t="s">
        <v>299</v>
      </c>
      <c r="D113" s="5" t="s">
        <v>282</v>
      </c>
      <c r="E113" s="5" t="s">
        <v>309</v>
      </c>
    </row>
    <row r="114">
      <c r="A114" s="6" t="s">
        <v>83</v>
      </c>
      <c r="B114" s="5" t="s">
        <v>119</v>
      </c>
      <c r="C114" s="5" t="s">
        <v>299</v>
      </c>
      <c r="D114" s="5" t="s">
        <v>285</v>
      </c>
      <c r="E114" s="5">
        <f>+2.4</f>
        <v>2.4</v>
      </c>
    </row>
    <row r="115">
      <c r="A115" s="6" t="s">
        <v>120</v>
      </c>
      <c r="B115" s="5" t="s">
        <v>139</v>
      </c>
      <c r="C115" s="5" t="s">
        <v>310</v>
      </c>
      <c r="D115" s="5" t="s">
        <v>311</v>
      </c>
      <c r="E115" s="5" t="s">
        <v>303</v>
      </c>
    </row>
    <row r="116">
      <c r="A116" s="6" t="s">
        <v>122</v>
      </c>
      <c r="B116" s="5" t="s">
        <v>139</v>
      </c>
      <c r="C116" s="5" t="s">
        <v>310</v>
      </c>
      <c r="D116" s="5" t="s">
        <v>312</v>
      </c>
      <c r="E116" s="5" t="s">
        <v>313</v>
      </c>
    </row>
    <row r="117">
      <c r="A117" s="6" t="s">
        <v>148</v>
      </c>
      <c r="B117" s="5" t="s">
        <v>139</v>
      </c>
      <c r="C117" s="5" t="s">
        <v>310</v>
      </c>
      <c r="D117" s="5" t="s">
        <v>314</v>
      </c>
      <c r="E117" s="5" t="s">
        <v>217</v>
      </c>
    </row>
    <row r="118">
      <c r="A118" s="6" t="s">
        <v>156</v>
      </c>
      <c r="B118" s="5" t="s">
        <v>139</v>
      </c>
      <c r="C118" s="5" t="s">
        <v>310</v>
      </c>
      <c r="D118" s="5" t="s">
        <v>315</v>
      </c>
      <c r="E118" s="5" t="s">
        <v>316</v>
      </c>
    </row>
    <row r="119">
      <c r="A119" s="6" t="s">
        <v>127</v>
      </c>
      <c r="B119" s="5" t="s">
        <v>139</v>
      </c>
      <c r="C119" s="5" t="s">
        <v>310</v>
      </c>
      <c r="D119" s="5" t="s">
        <v>317</v>
      </c>
      <c r="E119" s="5" t="s">
        <v>288</v>
      </c>
    </row>
    <row r="120">
      <c r="A120" s="6" t="s">
        <v>144</v>
      </c>
      <c r="B120" s="5" t="s">
        <v>139</v>
      </c>
      <c r="C120" s="5" t="s">
        <v>310</v>
      </c>
      <c r="D120" s="5" t="s">
        <v>318</v>
      </c>
      <c r="E120" s="5" t="s">
        <v>316</v>
      </c>
    </row>
    <row r="121">
      <c r="A121" s="6" t="s">
        <v>128</v>
      </c>
      <c r="B121" s="5" t="s">
        <v>139</v>
      </c>
      <c r="C121" s="5" t="s">
        <v>310</v>
      </c>
      <c r="D121" s="5" t="s">
        <v>319</v>
      </c>
      <c r="E121" s="5" t="s">
        <v>288</v>
      </c>
    </row>
    <row r="122">
      <c r="A122" s="6" t="s">
        <v>130</v>
      </c>
      <c r="B122" s="5" t="s">
        <v>139</v>
      </c>
      <c r="C122" s="5" t="s">
        <v>310</v>
      </c>
      <c r="D122" s="5" t="s">
        <v>320</v>
      </c>
      <c r="E122" s="5" t="s">
        <v>217</v>
      </c>
    </row>
    <row r="123">
      <c r="A123" s="6" t="s">
        <v>39</v>
      </c>
      <c r="B123" s="5" t="s">
        <v>139</v>
      </c>
      <c r="C123" s="5" t="s">
        <v>310</v>
      </c>
      <c r="D123" s="5" t="s">
        <v>321</v>
      </c>
      <c r="E123" s="5" t="s">
        <v>271</v>
      </c>
    </row>
    <row r="124">
      <c r="A124" s="6" t="s">
        <v>131</v>
      </c>
      <c r="B124" s="5" t="s">
        <v>139</v>
      </c>
      <c r="C124" s="5" t="s">
        <v>310</v>
      </c>
      <c r="D124" s="5" t="s">
        <v>322</v>
      </c>
      <c r="E124" s="5" t="s">
        <v>213</v>
      </c>
    </row>
    <row r="125">
      <c r="A125" s="6" t="s">
        <v>115</v>
      </c>
      <c r="B125" s="5" t="s">
        <v>139</v>
      </c>
      <c r="C125" s="5" t="s">
        <v>310</v>
      </c>
      <c r="D125" s="5" t="s">
        <v>323</v>
      </c>
      <c r="E125" s="5" t="s">
        <v>213</v>
      </c>
    </row>
    <row r="126">
      <c r="A126" s="6" t="s">
        <v>135</v>
      </c>
      <c r="B126" s="5" t="s">
        <v>139</v>
      </c>
      <c r="C126" s="5" t="s">
        <v>310</v>
      </c>
      <c r="D126" s="5" t="s">
        <v>287</v>
      </c>
      <c r="E126" s="5" t="s">
        <v>324</v>
      </c>
    </row>
    <row r="127">
      <c r="A127" s="6" t="s">
        <v>158</v>
      </c>
      <c r="B127" s="5" t="s">
        <v>139</v>
      </c>
      <c r="C127" s="5" t="s">
        <v>310</v>
      </c>
      <c r="D127" s="5" t="s">
        <v>307</v>
      </c>
      <c r="E127" s="5" t="s">
        <v>287</v>
      </c>
    </row>
    <row r="128">
      <c r="A128" s="6" t="s">
        <v>140</v>
      </c>
      <c r="B128" s="5" t="s">
        <v>325</v>
      </c>
      <c r="C128" s="5" t="s">
        <v>326</v>
      </c>
      <c r="D128" s="5" t="s">
        <v>290</v>
      </c>
      <c r="E128" s="5">
        <f>+1.5</f>
        <v>1.5</v>
      </c>
    </row>
    <row r="129">
      <c r="A129" s="6" t="s">
        <v>111</v>
      </c>
      <c r="B129" s="5" t="s">
        <v>149</v>
      </c>
      <c r="C129" s="5" t="s">
        <v>327</v>
      </c>
      <c r="D129" s="5" t="s">
        <v>321</v>
      </c>
      <c r="E129" s="5">
        <f>+1.4</f>
        <v>1.4</v>
      </c>
    </row>
    <row r="130">
      <c r="A130" s="6" t="s">
        <v>114</v>
      </c>
      <c r="B130" s="5" t="s">
        <v>149</v>
      </c>
      <c r="C130" s="5" t="s">
        <v>327</v>
      </c>
      <c r="D130" s="5" t="s">
        <v>328</v>
      </c>
      <c r="E130" s="5" t="s">
        <v>322</v>
      </c>
    </row>
    <row r="131">
      <c r="A131" s="6" t="s">
        <v>160</v>
      </c>
      <c r="B131" s="5" t="s">
        <v>149</v>
      </c>
      <c r="C131" s="5" t="s">
        <v>327</v>
      </c>
      <c r="D131" s="5" t="s">
        <v>329</v>
      </c>
      <c r="E131" s="5" t="s">
        <v>330</v>
      </c>
    </row>
    <row r="132">
      <c r="A132" s="6" t="s">
        <v>32</v>
      </c>
      <c r="B132" s="5" t="s">
        <v>149</v>
      </c>
      <c r="C132" s="5" t="s">
        <v>327</v>
      </c>
      <c r="D132" s="5" t="s">
        <v>319</v>
      </c>
      <c r="E132" s="5">
        <f>+0.2</f>
        <v>0.2</v>
      </c>
    </row>
    <row r="133">
      <c r="A133" s="6" t="s">
        <v>151</v>
      </c>
      <c r="B133" s="5" t="s">
        <v>157</v>
      </c>
      <c r="C133" s="5" t="s">
        <v>331</v>
      </c>
      <c r="D133" s="5" t="s">
        <v>332</v>
      </c>
      <c r="E133" s="5" t="s">
        <v>333</v>
      </c>
    </row>
    <row r="134">
      <c r="A134" s="6" t="s">
        <v>79</v>
      </c>
      <c r="B134" s="5" t="s">
        <v>157</v>
      </c>
      <c r="C134" s="5" t="s">
        <v>331</v>
      </c>
      <c r="D134" s="5" t="s">
        <v>334</v>
      </c>
      <c r="E134" s="5" t="s">
        <v>320</v>
      </c>
    </row>
    <row r="135">
      <c r="A135" s="6" t="s">
        <v>107</v>
      </c>
      <c r="B135" s="5" t="s">
        <v>161</v>
      </c>
      <c r="C135" s="5" t="s">
        <v>335</v>
      </c>
      <c r="D135" s="5" t="s">
        <v>336</v>
      </c>
      <c r="E135" s="5" t="s">
        <v>337</v>
      </c>
    </row>
    <row r="136">
      <c r="A136" s="6" t="s">
        <v>84</v>
      </c>
      <c r="B136" s="5" t="s">
        <v>338</v>
      </c>
      <c r="C136" s="5" t="s">
        <v>335</v>
      </c>
      <c r="D136" s="5" t="s">
        <v>339</v>
      </c>
      <c r="E136" s="5" t="s">
        <v>340</v>
      </c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33</v>
      </c>
      <c r="B2" s="5" t="s">
        <v>341</v>
      </c>
      <c r="C2" s="9">
        <v>1.0</v>
      </c>
      <c r="D2" s="7">
        <v>25.5</v>
      </c>
      <c r="E2" s="4">
        <f>+4.3</f>
        <v>4.3</v>
      </c>
    </row>
    <row r="3">
      <c r="A3" s="8" t="s">
        <v>63</v>
      </c>
      <c r="B3" s="5" t="s">
        <v>342</v>
      </c>
      <c r="C3" s="9">
        <v>0.933</v>
      </c>
      <c r="D3" s="7">
        <v>11.2</v>
      </c>
      <c r="E3" s="7">
        <v>0.0</v>
      </c>
    </row>
    <row r="4">
      <c r="A4" s="8" t="s">
        <v>7</v>
      </c>
      <c r="B4" s="5" t="s">
        <v>162</v>
      </c>
      <c r="C4" s="9">
        <v>0.929</v>
      </c>
      <c r="D4" s="7">
        <v>24.5</v>
      </c>
      <c r="E4" s="4">
        <f>+1.5</f>
        <v>1.5</v>
      </c>
    </row>
    <row r="5">
      <c r="A5" s="8" t="s">
        <v>114</v>
      </c>
      <c r="B5" s="5" t="s">
        <v>162</v>
      </c>
      <c r="C5" s="9">
        <v>0.929</v>
      </c>
      <c r="D5" s="7">
        <v>15.3</v>
      </c>
      <c r="E5" s="4">
        <f>+1</f>
        <v>1</v>
      </c>
    </row>
    <row r="6">
      <c r="A6" s="8" t="s">
        <v>136</v>
      </c>
      <c r="B6" s="5" t="s">
        <v>162</v>
      </c>
      <c r="C6" s="9">
        <v>0.929</v>
      </c>
      <c r="D6" s="7">
        <v>14.0</v>
      </c>
      <c r="E6" s="4">
        <f>+3.9</f>
        <v>3.9</v>
      </c>
    </row>
    <row r="7">
      <c r="A7" s="8" t="s">
        <v>28</v>
      </c>
      <c r="B7" s="5" t="s">
        <v>170</v>
      </c>
      <c r="C7" s="9">
        <v>0.857</v>
      </c>
      <c r="D7" s="7">
        <v>15.0</v>
      </c>
      <c r="E7" s="4">
        <f>+0.9</f>
        <v>0.9</v>
      </c>
    </row>
    <row r="8">
      <c r="A8" s="8" t="s">
        <v>35</v>
      </c>
      <c r="B8" s="5" t="s">
        <v>170</v>
      </c>
      <c r="C8" s="9">
        <v>0.857</v>
      </c>
      <c r="D8" s="7">
        <v>16.9</v>
      </c>
      <c r="E8" s="4">
        <f>+2.9</f>
        <v>2.9</v>
      </c>
    </row>
    <row r="9">
      <c r="A9" s="8" t="s">
        <v>15</v>
      </c>
      <c r="B9" s="5" t="s">
        <v>170</v>
      </c>
      <c r="C9" s="9">
        <v>0.857</v>
      </c>
      <c r="D9" s="7">
        <v>27.7</v>
      </c>
      <c r="E9" s="4">
        <f>+8.3</f>
        <v>8.3</v>
      </c>
    </row>
    <row r="10">
      <c r="A10" s="8" t="s">
        <v>12</v>
      </c>
      <c r="B10" s="5" t="s">
        <v>17</v>
      </c>
      <c r="C10" s="9">
        <v>0.846</v>
      </c>
      <c r="D10" s="7">
        <v>12.5</v>
      </c>
      <c r="E10" s="4">
        <f>+2.5</f>
        <v>2.5</v>
      </c>
    </row>
    <row r="11">
      <c r="A11" s="8" t="s">
        <v>9</v>
      </c>
      <c r="B11" s="5" t="s">
        <v>17</v>
      </c>
      <c r="C11" s="9">
        <v>0.846</v>
      </c>
      <c r="D11" s="7">
        <v>19.3</v>
      </c>
      <c r="E11" s="4">
        <f>+1</f>
        <v>1</v>
      </c>
    </row>
    <row r="12">
      <c r="A12" s="8" t="s">
        <v>58</v>
      </c>
      <c r="B12" s="5" t="s">
        <v>17</v>
      </c>
      <c r="C12" s="9">
        <v>0.846</v>
      </c>
      <c r="D12" s="7">
        <v>11.7</v>
      </c>
      <c r="E12" s="4">
        <f>+6.6</f>
        <v>6.6</v>
      </c>
    </row>
    <row r="13">
      <c r="A13" s="8" t="s">
        <v>11</v>
      </c>
      <c r="B13" s="5" t="s">
        <v>17</v>
      </c>
      <c r="C13" s="9">
        <v>0.846</v>
      </c>
      <c r="D13" s="7">
        <v>14.6</v>
      </c>
      <c r="E13" s="4">
        <f>+4.7</f>
        <v>4.7</v>
      </c>
    </row>
    <row r="14">
      <c r="A14" s="8" t="s">
        <v>48</v>
      </c>
      <c r="B14" s="5" t="s">
        <v>182</v>
      </c>
      <c r="C14" s="9">
        <v>0.786</v>
      </c>
      <c r="D14" s="7">
        <v>12.0</v>
      </c>
      <c r="E14" s="7">
        <v>-0.3</v>
      </c>
    </row>
    <row r="15">
      <c r="A15" s="8" t="s">
        <v>87</v>
      </c>
      <c r="B15" s="5" t="s">
        <v>182</v>
      </c>
      <c r="C15" s="9">
        <v>0.786</v>
      </c>
      <c r="D15" s="7">
        <v>9.7</v>
      </c>
      <c r="E15" s="4">
        <f>+6.1</f>
        <v>6.1</v>
      </c>
    </row>
    <row r="16">
      <c r="A16" s="8" t="s">
        <v>51</v>
      </c>
      <c r="B16" s="5" t="s">
        <v>182</v>
      </c>
      <c r="C16" s="9">
        <v>0.786</v>
      </c>
      <c r="D16" s="7">
        <v>20.9</v>
      </c>
      <c r="E16" s="4">
        <f>+7</f>
        <v>7</v>
      </c>
    </row>
    <row r="17">
      <c r="A17" s="8" t="s">
        <v>16</v>
      </c>
      <c r="B17" s="5" t="s">
        <v>182</v>
      </c>
      <c r="C17" s="9">
        <v>0.786</v>
      </c>
      <c r="D17" s="7">
        <v>5.9</v>
      </c>
      <c r="E17" s="7">
        <v>-4.2</v>
      </c>
    </row>
    <row r="18">
      <c r="A18" s="8" t="s">
        <v>68</v>
      </c>
      <c r="B18" s="5" t="s">
        <v>182</v>
      </c>
      <c r="C18" s="9">
        <v>0.786</v>
      </c>
      <c r="D18" s="7">
        <v>12.5</v>
      </c>
      <c r="E18" s="4">
        <f>+4</f>
        <v>4</v>
      </c>
    </row>
    <row r="19">
      <c r="A19" s="8" t="s">
        <v>50</v>
      </c>
      <c r="B19" s="5" t="s">
        <v>29</v>
      </c>
      <c r="C19" s="9">
        <v>0.769</v>
      </c>
      <c r="D19" s="7">
        <v>8.5</v>
      </c>
      <c r="E19" s="7">
        <v>-1.5</v>
      </c>
    </row>
    <row r="20">
      <c r="A20" s="8" t="s">
        <v>20</v>
      </c>
      <c r="B20" s="5" t="s">
        <v>29</v>
      </c>
      <c r="C20" s="9">
        <v>0.769</v>
      </c>
      <c r="D20" s="7">
        <v>23.2</v>
      </c>
      <c r="E20" s="4">
        <f>+7.6</f>
        <v>7.6</v>
      </c>
    </row>
    <row r="21">
      <c r="A21" s="8" t="s">
        <v>75</v>
      </c>
      <c r="B21" s="5" t="s">
        <v>29</v>
      </c>
      <c r="C21" s="9">
        <v>0.769</v>
      </c>
      <c r="D21" s="7">
        <v>17.5</v>
      </c>
      <c r="E21" s="4">
        <f>+1.9</f>
        <v>1.9</v>
      </c>
    </row>
    <row r="22">
      <c r="A22" s="8" t="s">
        <v>91</v>
      </c>
      <c r="B22" s="5" t="s">
        <v>29</v>
      </c>
      <c r="C22" s="9">
        <v>0.769</v>
      </c>
      <c r="D22" s="7">
        <v>22.8</v>
      </c>
      <c r="E22" s="4">
        <f>+4.3</f>
        <v>4.3</v>
      </c>
    </row>
    <row r="23">
      <c r="A23" s="8" t="s">
        <v>23</v>
      </c>
      <c r="B23" s="5" t="s">
        <v>29</v>
      </c>
      <c r="C23" s="9">
        <v>0.769</v>
      </c>
      <c r="D23" s="7">
        <v>18.2</v>
      </c>
      <c r="E23" s="4">
        <f>+4</f>
        <v>4</v>
      </c>
    </row>
    <row r="24">
      <c r="A24" s="8" t="s">
        <v>61</v>
      </c>
      <c r="B24" s="5" t="s">
        <v>29</v>
      </c>
      <c r="C24" s="9">
        <v>0.769</v>
      </c>
      <c r="D24" s="7">
        <v>10.6</v>
      </c>
      <c r="E24" s="4">
        <f>+2.7</f>
        <v>2.7</v>
      </c>
    </row>
    <row r="25">
      <c r="A25" s="8" t="s">
        <v>40</v>
      </c>
      <c r="B25" s="5" t="s">
        <v>29</v>
      </c>
      <c r="C25" s="9">
        <v>0.769</v>
      </c>
      <c r="D25" s="7">
        <v>13.5</v>
      </c>
      <c r="E25" s="4">
        <f>+11.7</f>
        <v>11.7</v>
      </c>
    </row>
    <row r="26">
      <c r="A26" s="8" t="s">
        <v>56</v>
      </c>
      <c r="B26" s="5" t="s">
        <v>203</v>
      </c>
      <c r="C26" s="9">
        <v>0.714</v>
      </c>
      <c r="D26" s="7">
        <v>0.6</v>
      </c>
      <c r="E26" s="7">
        <v>-1.5</v>
      </c>
    </row>
    <row r="27">
      <c r="A27" s="8" t="s">
        <v>156</v>
      </c>
      <c r="B27" s="5" t="s">
        <v>203</v>
      </c>
      <c r="C27" s="9">
        <v>0.714</v>
      </c>
      <c r="D27" s="7">
        <v>1.0</v>
      </c>
      <c r="E27" s="7">
        <v>-1.2</v>
      </c>
    </row>
    <row r="28">
      <c r="A28" s="8" t="s">
        <v>62</v>
      </c>
      <c r="B28" s="5" t="s">
        <v>203</v>
      </c>
      <c r="C28" s="9">
        <v>0.714</v>
      </c>
      <c r="D28" s="7">
        <v>9.4</v>
      </c>
      <c r="E28" s="4">
        <f>+0.4</f>
        <v>0.4</v>
      </c>
    </row>
    <row r="29">
      <c r="A29" s="8" t="s">
        <v>53</v>
      </c>
      <c r="B29" s="5" t="s">
        <v>46</v>
      </c>
      <c r="C29" s="9">
        <v>0.692</v>
      </c>
      <c r="D29" s="7">
        <v>7.0</v>
      </c>
      <c r="E29" s="7">
        <v>-2.8</v>
      </c>
    </row>
    <row r="30">
      <c r="A30" s="8" t="s">
        <v>54</v>
      </c>
      <c r="B30" s="5" t="s">
        <v>46</v>
      </c>
      <c r="C30" s="9">
        <v>0.692</v>
      </c>
      <c r="D30" s="7">
        <v>11.5</v>
      </c>
      <c r="E30" s="7">
        <v>-2.0</v>
      </c>
    </row>
    <row r="31">
      <c r="A31" s="8" t="s">
        <v>92</v>
      </c>
      <c r="B31" s="5" t="s">
        <v>46</v>
      </c>
      <c r="C31" s="9">
        <v>0.692</v>
      </c>
      <c r="D31" s="7">
        <v>16.1</v>
      </c>
      <c r="E31" s="4">
        <f>+6.6</f>
        <v>6.6</v>
      </c>
    </row>
    <row r="32">
      <c r="A32" s="8" t="s">
        <v>112</v>
      </c>
      <c r="B32" s="5" t="s">
        <v>46</v>
      </c>
      <c r="C32" s="9">
        <v>0.692</v>
      </c>
      <c r="D32" s="7">
        <v>8.2</v>
      </c>
      <c r="E32" s="4">
        <f>+3.6</f>
        <v>3.6</v>
      </c>
    </row>
    <row r="33">
      <c r="A33" s="8" t="s">
        <v>129</v>
      </c>
      <c r="B33" s="5" t="s">
        <v>46</v>
      </c>
      <c r="C33" s="9">
        <v>0.692</v>
      </c>
      <c r="D33" s="7">
        <v>9.7</v>
      </c>
      <c r="E33" s="7">
        <v>-2.7</v>
      </c>
    </row>
    <row r="34">
      <c r="A34" s="8" t="s">
        <v>130</v>
      </c>
      <c r="B34" s="5" t="s">
        <v>46</v>
      </c>
      <c r="C34" s="9">
        <v>0.692</v>
      </c>
      <c r="D34" s="7">
        <v>3.0</v>
      </c>
      <c r="E34" s="4">
        <f>+2.1</f>
        <v>2.1</v>
      </c>
    </row>
    <row r="35">
      <c r="A35" s="8" t="s">
        <v>81</v>
      </c>
      <c r="B35" s="5" t="s">
        <v>46</v>
      </c>
      <c r="C35" s="9">
        <v>0.692</v>
      </c>
      <c r="D35" s="7">
        <v>8.8</v>
      </c>
      <c r="E35" s="7">
        <v>-3.7</v>
      </c>
    </row>
    <row r="36">
      <c r="A36" s="8" t="s">
        <v>82</v>
      </c>
      <c r="B36" s="5" t="s">
        <v>46</v>
      </c>
      <c r="C36" s="9">
        <v>0.692</v>
      </c>
      <c r="D36" s="7">
        <v>5.5</v>
      </c>
      <c r="E36" s="4">
        <f>+2.8</f>
        <v>2.8</v>
      </c>
    </row>
    <row r="37">
      <c r="A37" s="8" t="s">
        <v>134</v>
      </c>
      <c r="B37" s="5" t="s">
        <v>46</v>
      </c>
      <c r="C37" s="9">
        <v>0.692</v>
      </c>
      <c r="D37" s="7">
        <v>5.3</v>
      </c>
      <c r="E37" s="4">
        <f>+3.6</f>
        <v>3.6</v>
      </c>
    </row>
    <row r="38">
      <c r="A38" s="8" t="s">
        <v>71</v>
      </c>
      <c r="B38" s="5" t="s">
        <v>46</v>
      </c>
      <c r="C38" s="9">
        <v>0.692</v>
      </c>
      <c r="D38" s="7">
        <v>9.0</v>
      </c>
      <c r="E38" s="4">
        <f>+8.1</f>
        <v>8.1</v>
      </c>
    </row>
    <row r="39">
      <c r="A39" s="8" t="s">
        <v>101</v>
      </c>
      <c r="B39" s="5" t="s">
        <v>46</v>
      </c>
      <c r="C39" s="9">
        <v>0.692</v>
      </c>
      <c r="D39" s="7">
        <v>7.8</v>
      </c>
      <c r="E39" s="4">
        <f>+1.5</f>
        <v>1.5</v>
      </c>
    </row>
    <row r="40">
      <c r="A40" s="8" t="s">
        <v>128</v>
      </c>
      <c r="B40" s="5" t="s">
        <v>343</v>
      </c>
      <c r="C40" s="9">
        <v>0.667</v>
      </c>
      <c r="D40" s="7">
        <v>4.7</v>
      </c>
      <c r="E40" s="4">
        <f>+5.5</f>
        <v>5.5</v>
      </c>
    </row>
    <row r="41">
      <c r="A41" s="8" t="s">
        <v>30</v>
      </c>
      <c r="B41" s="5" t="s">
        <v>224</v>
      </c>
      <c r="C41" s="9">
        <v>0.643</v>
      </c>
      <c r="D41" s="7">
        <v>5.9</v>
      </c>
      <c r="E41" s="4">
        <f>+6.4</f>
        <v>6.4</v>
      </c>
    </row>
    <row r="42">
      <c r="A42" s="8" t="s">
        <v>117</v>
      </c>
      <c r="B42" s="5" t="s">
        <v>224</v>
      </c>
      <c r="C42" s="9">
        <v>0.643</v>
      </c>
      <c r="D42" s="7">
        <v>6.2</v>
      </c>
      <c r="E42" s="4">
        <f>+2.7</f>
        <v>2.7</v>
      </c>
    </row>
    <row r="43">
      <c r="A43" s="8" t="s">
        <v>89</v>
      </c>
      <c r="B43" s="5" t="s">
        <v>69</v>
      </c>
      <c r="C43" s="9">
        <v>0.615</v>
      </c>
      <c r="D43" s="7">
        <v>-0.5</v>
      </c>
      <c r="E43" s="4">
        <f>+6.5</f>
        <v>6.5</v>
      </c>
    </row>
    <row r="44">
      <c r="A44" s="8" t="s">
        <v>24</v>
      </c>
      <c r="B44" s="5" t="s">
        <v>69</v>
      </c>
      <c r="C44" s="9">
        <v>0.615</v>
      </c>
      <c r="D44" s="7">
        <v>3.8</v>
      </c>
      <c r="E44" s="7">
        <v>-0.9</v>
      </c>
    </row>
    <row r="45">
      <c r="A45" s="8" t="s">
        <v>41</v>
      </c>
      <c r="B45" s="5" t="s">
        <v>69</v>
      </c>
      <c r="C45" s="9">
        <v>0.615</v>
      </c>
      <c r="D45" s="7">
        <v>7.5</v>
      </c>
      <c r="E45" s="7">
        <v>-5.6</v>
      </c>
    </row>
    <row r="46">
      <c r="A46" s="8" t="s">
        <v>153</v>
      </c>
      <c r="B46" s="5" t="s">
        <v>69</v>
      </c>
      <c r="C46" s="9">
        <v>0.615</v>
      </c>
      <c r="D46" s="7">
        <v>8.9</v>
      </c>
      <c r="E46" s="4">
        <f>+1.3</f>
        <v>1.3</v>
      </c>
    </row>
    <row r="47">
      <c r="A47" s="8" t="s">
        <v>145</v>
      </c>
      <c r="B47" s="5" t="s">
        <v>69</v>
      </c>
      <c r="C47" s="9">
        <v>0.615</v>
      </c>
      <c r="D47" s="7">
        <v>8.1</v>
      </c>
      <c r="E47" s="7">
        <v>-1.0</v>
      </c>
    </row>
    <row r="48">
      <c r="A48" s="8" t="s">
        <v>70</v>
      </c>
      <c r="B48" s="5" t="s">
        <v>69</v>
      </c>
      <c r="C48" s="9">
        <v>0.615</v>
      </c>
      <c r="D48" s="7">
        <v>7.9</v>
      </c>
      <c r="E48" s="4">
        <f>+4.3</f>
        <v>4.3</v>
      </c>
    </row>
    <row r="49">
      <c r="A49" s="8" t="s">
        <v>132</v>
      </c>
      <c r="B49" s="5" t="s">
        <v>69</v>
      </c>
      <c r="C49" s="9">
        <v>0.615</v>
      </c>
      <c r="D49" s="7">
        <v>7.2</v>
      </c>
      <c r="E49" s="7">
        <v>-2.2</v>
      </c>
    </row>
    <row r="50">
      <c r="A50" s="8" t="s">
        <v>133</v>
      </c>
      <c r="B50" s="5" t="s">
        <v>69</v>
      </c>
      <c r="C50" s="9">
        <v>0.615</v>
      </c>
      <c r="D50" s="7">
        <v>7.2</v>
      </c>
      <c r="E50" s="4">
        <f>+0.7</f>
        <v>0.7</v>
      </c>
    </row>
    <row r="51">
      <c r="A51" s="8" t="s">
        <v>98</v>
      </c>
      <c r="B51" s="5" t="s">
        <v>69</v>
      </c>
      <c r="C51" s="9">
        <v>0.615</v>
      </c>
      <c r="D51" s="7">
        <v>3.8</v>
      </c>
      <c r="E51" s="4">
        <f>+2.6</f>
        <v>2.6</v>
      </c>
    </row>
    <row r="52">
      <c r="A52" s="8" t="s">
        <v>67</v>
      </c>
      <c r="B52" s="5" t="s">
        <v>69</v>
      </c>
      <c r="C52" s="9">
        <v>0.615</v>
      </c>
      <c r="D52" s="7">
        <v>1.8</v>
      </c>
      <c r="E52" s="7">
        <v>-3.5</v>
      </c>
    </row>
    <row r="53">
      <c r="A53" s="8" t="s">
        <v>100</v>
      </c>
      <c r="B53" s="5" t="s">
        <v>69</v>
      </c>
      <c r="C53" s="9">
        <v>0.615</v>
      </c>
      <c r="D53" s="7">
        <v>3.8</v>
      </c>
      <c r="E53" s="4">
        <f>+2.5</f>
        <v>2.5</v>
      </c>
    </row>
    <row r="54">
      <c r="A54" s="8" t="s">
        <v>47</v>
      </c>
      <c r="B54" s="5" t="s">
        <v>244</v>
      </c>
      <c r="C54" s="9">
        <v>0.571</v>
      </c>
      <c r="D54" s="7">
        <v>6.6</v>
      </c>
      <c r="E54" s="4">
        <f>+3</f>
        <v>3</v>
      </c>
    </row>
    <row r="55">
      <c r="A55" s="8" t="s">
        <v>138</v>
      </c>
      <c r="B55" s="5" t="s">
        <v>88</v>
      </c>
      <c r="C55" s="9">
        <v>0.539</v>
      </c>
      <c r="D55" s="7">
        <v>3.9</v>
      </c>
      <c r="E55" s="4">
        <f>+1.9</f>
        <v>1.9</v>
      </c>
    </row>
    <row r="56">
      <c r="A56" s="8" t="s">
        <v>121</v>
      </c>
      <c r="B56" s="5" t="s">
        <v>88</v>
      </c>
      <c r="C56" s="9">
        <v>0.539</v>
      </c>
      <c r="D56" s="7">
        <v>2.2</v>
      </c>
      <c r="E56" s="4">
        <f>+7</f>
        <v>7</v>
      </c>
    </row>
    <row r="57">
      <c r="A57" s="8" t="s">
        <v>141</v>
      </c>
      <c r="B57" s="5" t="s">
        <v>88</v>
      </c>
      <c r="C57" s="9">
        <v>0.539</v>
      </c>
      <c r="D57" s="7">
        <v>6.2</v>
      </c>
      <c r="E57" s="4">
        <f>+6.2</f>
        <v>6.2</v>
      </c>
    </row>
    <row r="58">
      <c r="A58" s="8" t="s">
        <v>109</v>
      </c>
      <c r="B58" s="5" t="s">
        <v>88</v>
      </c>
      <c r="C58" s="9">
        <v>0.539</v>
      </c>
      <c r="D58" s="7">
        <v>3.2</v>
      </c>
      <c r="E58" s="7">
        <v>-1.7</v>
      </c>
    </row>
    <row r="59">
      <c r="A59" s="8" t="s">
        <v>125</v>
      </c>
      <c r="B59" s="5" t="s">
        <v>88</v>
      </c>
      <c r="C59" s="9">
        <v>0.539</v>
      </c>
      <c r="D59" s="7">
        <v>3.3</v>
      </c>
      <c r="E59" s="7">
        <v>-3.7</v>
      </c>
    </row>
    <row r="60">
      <c r="A60" s="8" t="s">
        <v>57</v>
      </c>
      <c r="B60" s="5" t="s">
        <v>88</v>
      </c>
      <c r="C60" s="9">
        <v>0.539</v>
      </c>
      <c r="D60" s="7">
        <v>3.5</v>
      </c>
      <c r="E60" s="4">
        <f>+4.5</f>
        <v>4.5</v>
      </c>
    </row>
    <row r="61">
      <c r="A61" s="8" t="s">
        <v>14</v>
      </c>
      <c r="B61" s="5" t="s">
        <v>88</v>
      </c>
      <c r="C61" s="9">
        <v>0.539</v>
      </c>
      <c r="D61" s="7">
        <v>11.2</v>
      </c>
      <c r="E61" s="4">
        <f>+0.2</f>
        <v>0.2</v>
      </c>
    </row>
    <row r="62">
      <c r="A62" s="8" t="s">
        <v>10</v>
      </c>
      <c r="B62" s="5" t="s">
        <v>88</v>
      </c>
      <c r="C62" s="9">
        <v>0.539</v>
      </c>
      <c r="D62" s="7">
        <v>1.4</v>
      </c>
      <c r="E62" s="7">
        <v>-2.9</v>
      </c>
    </row>
    <row r="63">
      <c r="A63" s="8" t="s">
        <v>37</v>
      </c>
      <c r="B63" s="5" t="s">
        <v>88</v>
      </c>
      <c r="C63" s="9">
        <v>0.539</v>
      </c>
      <c r="D63" s="7">
        <v>-0.3</v>
      </c>
      <c r="E63" s="4">
        <f>+3.1</f>
        <v>3.1</v>
      </c>
    </row>
    <row r="64">
      <c r="A64" s="8" t="s">
        <v>25</v>
      </c>
      <c r="B64" s="5" t="s">
        <v>88</v>
      </c>
      <c r="C64" s="9">
        <v>0.539</v>
      </c>
      <c r="D64" s="7">
        <v>8.7</v>
      </c>
      <c r="E64" s="7">
        <v>-0.4</v>
      </c>
    </row>
    <row r="65">
      <c r="A65" s="8" t="s">
        <v>146</v>
      </c>
      <c r="B65" s="5" t="s">
        <v>88</v>
      </c>
      <c r="C65" s="9">
        <v>0.539</v>
      </c>
      <c r="D65" s="7">
        <v>5.6</v>
      </c>
      <c r="E65" s="4">
        <f>+6.2</f>
        <v>6.2</v>
      </c>
    </row>
    <row r="66">
      <c r="A66" s="8" t="s">
        <v>42</v>
      </c>
      <c r="B66" s="5" t="s">
        <v>88</v>
      </c>
      <c r="C66" s="9">
        <v>0.539</v>
      </c>
      <c r="D66" s="7">
        <v>1.6</v>
      </c>
      <c r="E66" s="4">
        <f>+3.8</f>
        <v>3.8</v>
      </c>
    </row>
    <row r="67">
      <c r="A67" s="8" t="s">
        <v>154</v>
      </c>
      <c r="B67" s="5" t="s">
        <v>88</v>
      </c>
      <c r="C67" s="9">
        <v>0.539</v>
      </c>
      <c r="D67" s="7">
        <v>-3.5</v>
      </c>
      <c r="E67" s="7">
        <v>-0.4</v>
      </c>
    </row>
    <row r="68">
      <c r="A68" s="8" t="s">
        <v>116</v>
      </c>
      <c r="B68" s="5" t="s">
        <v>88</v>
      </c>
      <c r="C68" s="9">
        <v>0.539</v>
      </c>
      <c r="D68" s="7">
        <v>2.0</v>
      </c>
      <c r="E68" s="4">
        <f>+1.9</f>
        <v>1.9</v>
      </c>
    </row>
    <row r="69">
      <c r="A69" s="8" t="s">
        <v>158</v>
      </c>
      <c r="B69" s="5" t="s">
        <v>88</v>
      </c>
      <c r="C69" s="9">
        <v>0.539</v>
      </c>
      <c r="D69" s="7">
        <v>-2.8</v>
      </c>
      <c r="E69" s="7">
        <v>-1.4</v>
      </c>
    </row>
    <row r="70">
      <c r="A70" s="8" t="s">
        <v>137</v>
      </c>
      <c r="B70" s="5" t="s">
        <v>88</v>
      </c>
      <c r="C70" s="9">
        <v>0.539</v>
      </c>
      <c r="D70" s="7">
        <v>12.1</v>
      </c>
      <c r="E70" s="4">
        <f>+3.9</f>
        <v>3.9</v>
      </c>
    </row>
    <row r="71">
      <c r="A71" s="8" t="s">
        <v>85</v>
      </c>
      <c r="B71" s="5" t="s">
        <v>90</v>
      </c>
      <c r="C71" s="9">
        <v>0.5</v>
      </c>
      <c r="D71" s="7">
        <v>-0.6</v>
      </c>
      <c r="E71" s="7">
        <v>-0.1</v>
      </c>
    </row>
    <row r="72">
      <c r="A72" s="8" t="s">
        <v>118</v>
      </c>
      <c r="B72" s="5" t="s">
        <v>261</v>
      </c>
      <c r="C72" s="9">
        <v>0.462</v>
      </c>
      <c r="D72" s="7">
        <v>-7.2</v>
      </c>
      <c r="E72" s="7">
        <v>-3.0</v>
      </c>
    </row>
    <row r="73">
      <c r="A73" s="8" t="s">
        <v>105</v>
      </c>
      <c r="B73" s="5" t="s">
        <v>261</v>
      </c>
      <c r="C73" s="9">
        <v>0.462</v>
      </c>
      <c r="D73" s="7">
        <v>-5.9</v>
      </c>
      <c r="E73" s="7">
        <v>-7.0</v>
      </c>
    </row>
    <row r="74">
      <c r="A74" s="8" t="s">
        <v>106</v>
      </c>
      <c r="B74" s="5" t="s">
        <v>261</v>
      </c>
      <c r="C74" s="9">
        <v>0.462</v>
      </c>
      <c r="D74" s="7">
        <v>5.5</v>
      </c>
      <c r="E74" s="7">
        <v>-0.6</v>
      </c>
    </row>
    <row r="75">
      <c r="A75" s="8" t="s">
        <v>108</v>
      </c>
      <c r="B75" s="5" t="s">
        <v>261</v>
      </c>
      <c r="C75" s="9">
        <v>0.462</v>
      </c>
      <c r="D75" s="7">
        <v>1.5</v>
      </c>
      <c r="E75" s="4">
        <f>+3.8</f>
        <v>3.8</v>
      </c>
    </row>
    <row r="76">
      <c r="A76" s="8" t="s">
        <v>110</v>
      </c>
      <c r="B76" s="5" t="s">
        <v>261</v>
      </c>
      <c r="C76" s="9">
        <v>0.462</v>
      </c>
      <c r="D76" s="7">
        <v>3.5</v>
      </c>
      <c r="E76" s="7">
        <v>-1.8</v>
      </c>
    </row>
    <row r="77">
      <c r="A77" s="8" t="s">
        <v>76</v>
      </c>
      <c r="B77" s="5" t="s">
        <v>261</v>
      </c>
      <c r="C77" s="9">
        <v>0.462</v>
      </c>
      <c r="D77" s="7">
        <v>-5.8</v>
      </c>
      <c r="E77" s="7">
        <v>-5.9</v>
      </c>
    </row>
    <row r="78">
      <c r="A78" s="8" t="s">
        <v>93</v>
      </c>
      <c r="B78" s="5" t="s">
        <v>261</v>
      </c>
      <c r="C78" s="9">
        <v>0.462</v>
      </c>
      <c r="D78" s="7">
        <v>3.5</v>
      </c>
      <c r="E78" s="4">
        <f>+0.3</f>
        <v>0.3</v>
      </c>
    </row>
    <row r="79">
      <c r="A79" s="8" t="s">
        <v>94</v>
      </c>
      <c r="B79" s="5" t="s">
        <v>261</v>
      </c>
      <c r="C79" s="9">
        <v>0.462</v>
      </c>
      <c r="D79" s="7">
        <v>-1.5</v>
      </c>
      <c r="E79" s="7">
        <v>-1.2</v>
      </c>
    </row>
    <row r="80">
      <c r="A80" s="8" t="s">
        <v>95</v>
      </c>
      <c r="B80" s="5" t="s">
        <v>261</v>
      </c>
      <c r="C80" s="9">
        <v>0.462</v>
      </c>
      <c r="D80" s="7">
        <v>-3.3</v>
      </c>
      <c r="E80" s="4">
        <f>+3.7</f>
        <v>3.7</v>
      </c>
    </row>
    <row r="81">
      <c r="A81" s="8" t="s">
        <v>80</v>
      </c>
      <c r="B81" s="5" t="s">
        <v>261</v>
      </c>
      <c r="C81" s="9">
        <v>0.462</v>
      </c>
      <c r="D81" s="7">
        <v>-2.5</v>
      </c>
      <c r="E81" s="4">
        <f>+1.3</f>
        <v>1.3</v>
      </c>
    </row>
    <row r="82">
      <c r="A82" s="8" t="s">
        <v>147</v>
      </c>
      <c r="B82" s="5" t="s">
        <v>261</v>
      </c>
      <c r="C82" s="9">
        <v>0.462</v>
      </c>
      <c r="D82" s="7">
        <v>-1.8</v>
      </c>
      <c r="E82" s="7">
        <v>-4.7</v>
      </c>
    </row>
    <row r="83">
      <c r="A83" s="8" t="s">
        <v>99</v>
      </c>
      <c r="B83" s="5" t="s">
        <v>261</v>
      </c>
      <c r="C83" s="9">
        <v>0.462</v>
      </c>
      <c r="D83" s="7">
        <v>-0.3</v>
      </c>
      <c r="E83" s="7">
        <v>-3.3</v>
      </c>
    </row>
    <row r="84">
      <c r="A84" s="8" t="s">
        <v>44</v>
      </c>
      <c r="B84" s="5" t="s">
        <v>261</v>
      </c>
      <c r="C84" s="9">
        <v>0.462</v>
      </c>
      <c r="D84" s="7">
        <v>-3.3</v>
      </c>
      <c r="E84" s="4">
        <f>+1.7</f>
        <v>1.7</v>
      </c>
    </row>
    <row r="85">
      <c r="A85" s="8" t="s">
        <v>72</v>
      </c>
      <c r="B85" s="5" t="s">
        <v>103</v>
      </c>
      <c r="C85" s="9">
        <v>0.417</v>
      </c>
      <c r="D85" s="7">
        <v>-7.9</v>
      </c>
      <c r="E85" s="7">
        <v>-2.9</v>
      </c>
    </row>
    <row r="86">
      <c r="A86" s="8" t="s">
        <v>26</v>
      </c>
      <c r="B86" s="5" t="s">
        <v>103</v>
      </c>
      <c r="C86" s="9">
        <v>0.417</v>
      </c>
      <c r="D86" s="7">
        <v>-4.8</v>
      </c>
      <c r="E86" s="7">
        <v>-4.5</v>
      </c>
    </row>
    <row r="87">
      <c r="A87" s="8" t="s">
        <v>123</v>
      </c>
      <c r="B87" s="5" t="s">
        <v>103</v>
      </c>
      <c r="C87" s="9">
        <v>0.417</v>
      </c>
      <c r="D87" s="7">
        <v>-0.3</v>
      </c>
      <c r="E87" s="4">
        <f>+1.4</f>
        <v>1.4</v>
      </c>
    </row>
    <row r="88">
      <c r="A88" s="8" t="s">
        <v>124</v>
      </c>
      <c r="B88" s="5" t="s">
        <v>103</v>
      </c>
      <c r="C88" s="9">
        <v>0.417</v>
      </c>
      <c r="D88" s="7">
        <v>0.8</v>
      </c>
      <c r="E88" s="7">
        <v>-2.5</v>
      </c>
    </row>
    <row r="89">
      <c r="A89" s="8" t="s">
        <v>111</v>
      </c>
      <c r="B89" s="5" t="s">
        <v>103</v>
      </c>
      <c r="C89" s="9">
        <v>0.417</v>
      </c>
      <c r="D89" s="7">
        <v>-4.8</v>
      </c>
      <c r="E89" s="7">
        <v>-5.0</v>
      </c>
    </row>
    <row r="90">
      <c r="A90" s="8" t="s">
        <v>55</v>
      </c>
      <c r="B90" s="5" t="s">
        <v>103</v>
      </c>
      <c r="C90" s="9">
        <v>0.417</v>
      </c>
      <c r="D90" s="7">
        <v>-4.9</v>
      </c>
      <c r="E90" s="7">
        <v>-4.9</v>
      </c>
    </row>
    <row r="91">
      <c r="A91" s="8" t="s">
        <v>77</v>
      </c>
      <c r="B91" s="5" t="s">
        <v>103</v>
      </c>
      <c r="C91" s="9">
        <v>0.417</v>
      </c>
      <c r="D91" s="7">
        <v>-0.3</v>
      </c>
      <c r="E91" s="7">
        <v>-0.8</v>
      </c>
    </row>
    <row r="92">
      <c r="A92" s="8" t="s">
        <v>60</v>
      </c>
      <c r="B92" s="5" t="s">
        <v>103</v>
      </c>
      <c r="C92" s="9">
        <v>0.417</v>
      </c>
      <c r="D92" s="7">
        <v>3.5</v>
      </c>
      <c r="E92" s="7">
        <v>-3.4</v>
      </c>
    </row>
    <row r="93">
      <c r="A93" s="8" t="s">
        <v>18</v>
      </c>
      <c r="B93" s="5" t="s">
        <v>103</v>
      </c>
      <c r="C93" s="9">
        <v>0.417</v>
      </c>
      <c r="D93" s="7">
        <v>-2.6</v>
      </c>
      <c r="E93" s="4">
        <f>+0.3</f>
        <v>0.3</v>
      </c>
    </row>
    <row r="94">
      <c r="A94" s="8" t="s">
        <v>19</v>
      </c>
      <c r="B94" s="5" t="s">
        <v>103</v>
      </c>
      <c r="C94" s="9">
        <v>0.417</v>
      </c>
      <c r="D94" s="7">
        <v>-6.8</v>
      </c>
      <c r="E94" s="7">
        <v>-2.1</v>
      </c>
    </row>
    <row r="95">
      <c r="A95" s="8" t="s">
        <v>152</v>
      </c>
      <c r="B95" s="5" t="s">
        <v>103</v>
      </c>
      <c r="C95" s="9">
        <v>0.417</v>
      </c>
      <c r="D95" s="7">
        <v>-3.5</v>
      </c>
      <c r="E95" s="7">
        <v>-2.3</v>
      </c>
    </row>
    <row r="96">
      <c r="A96" s="8" t="s">
        <v>96</v>
      </c>
      <c r="B96" s="5" t="s">
        <v>103</v>
      </c>
      <c r="C96" s="9">
        <v>0.417</v>
      </c>
      <c r="D96" s="7">
        <v>3.6</v>
      </c>
      <c r="E96" s="4">
        <f>+0.5</f>
        <v>0.5</v>
      </c>
    </row>
    <row r="97">
      <c r="A97" s="8" t="s">
        <v>52</v>
      </c>
      <c r="B97" s="5" t="s">
        <v>296</v>
      </c>
      <c r="C97" s="9">
        <v>0.385</v>
      </c>
      <c r="D97" s="7">
        <v>-10.8</v>
      </c>
      <c r="E97" s="7">
        <v>-2.1</v>
      </c>
    </row>
    <row r="98">
      <c r="A98" s="8" t="s">
        <v>45</v>
      </c>
      <c r="B98" s="5" t="s">
        <v>119</v>
      </c>
      <c r="C98" s="9">
        <v>0.333</v>
      </c>
      <c r="D98" s="7">
        <v>-8.1</v>
      </c>
      <c r="E98" s="4">
        <f>+0.8</f>
        <v>0.8</v>
      </c>
    </row>
    <row r="99">
      <c r="A99" s="8" t="s">
        <v>120</v>
      </c>
      <c r="B99" s="5" t="s">
        <v>119</v>
      </c>
      <c r="C99" s="9">
        <v>0.333</v>
      </c>
      <c r="D99" s="7">
        <v>-6.2</v>
      </c>
      <c r="E99" s="4">
        <f>+0.5</f>
        <v>0.5</v>
      </c>
    </row>
    <row r="100">
      <c r="A100" s="8" t="s">
        <v>122</v>
      </c>
      <c r="B100" s="5" t="s">
        <v>119</v>
      </c>
      <c r="C100" s="9">
        <v>0.333</v>
      </c>
      <c r="D100" s="7">
        <v>-10.4</v>
      </c>
      <c r="E100" s="7">
        <v>-4.9</v>
      </c>
    </row>
    <row r="101">
      <c r="A101" s="8" t="s">
        <v>150</v>
      </c>
      <c r="B101" s="5" t="s">
        <v>119</v>
      </c>
      <c r="C101" s="9">
        <v>0.333</v>
      </c>
      <c r="D101" s="7">
        <v>-1.3</v>
      </c>
      <c r="E101" s="7">
        <v>-5.6</v>
      </c>
    </row>
    <row r="102">
      <c r="A102" s="8" t="s">
        <v>126</v>
      </c>
      <c r="B102" s="5" t="s">
        <v>119</v>
      </c>
      <c r="C102" s="9">
        <v>0.333</v>
      </c>
      <c r="D102" s="7">
        <v>-12.4</v>
      </c>
      <c r="E102" s="7">
        <v>-5.3</v>
      </c>
    </row>
    <row r="103">
      <c r="A103" s="8" t="s">
        <v>151</v>
      </c>
      <c r="B103" s="5" t="s">
        <v>119</v>
      </c>
      <c r="C103" s="9">
        <v>0.333</v>
      </c>
      <c r="D103" s="7">
        <v>-6.5</v>
      </c>
      <c r="E103" s="7">
        <v>-2.2</v>
      </c>
    </row>
    <row r="104">
      <c r="A104" s="8" t="s">
        <v>142</v>
      </c>
      <c r="B104" s="5" t="s">
        <v>119</v>
      </c>
      <c r="C104" s="9">
        <v>0.333</v>
      </c>
      <c r="D104" s="7">
        <v>-6.7</v>
      </c>
      <c r="E104" s="4">
        <f>+0.2</f>
        <v>0.2</v>
      </c>
    </row>
    <row r="105">
      <c r="A105" s="8" t="s">
        <v>127</v>
      </c>
      <c r="B105" s="5" t="s">
        <v>119</v>
      </c>
      <c r="C105" s="9">
        <v>0.333</v>
      </c>
      <c r="D105" s="7">
        <v>-7.0</v>
      </c>
      <c r="E105" s="7">
        <v>-2.5</v>
      </c>
    </row>
    <row r="106">
      <c r="A106" s="8" t="s">
        <v>36</v>
      </c>
      <c r="B106" s="5" t="s">
        <v>119</v>
      </c>
      <c r="C106" s="9">
        <v>0.333</v>
      </c>
      <c r="D106" s="7">
        <v>-7.8</v>
      </c>
      <c r="E106" s="7">
        <v>-2.4</v>
      </c>
    </row>
    <row r="107">
      <c r="A107" s="8" t="s">
        <v>144</v>
      </c>
      <c r="B107" s="5" t="s">
        <v>119</v>
      </c>
      <c r="C107" s="9">
        <v>0.333</v>
      </c>
      <c r="D107" s="7">
        <v>-3.8</v>
      </c>
      <c r="E107" s="7">
        <v>-2.3</v>
      </c>
    </row>
    <row r="108">
      <c r="A108" s="8" t="s">
        <v>38</v>
      </c>
      <c r="B108" s="5" t="s">
        <v>119</v>
      </c>
      <c r="C108" s="9">
        <v>0.333</v>
      </c>
      <c r="D108" s="7">
        <v>-7.8</v>
      </c>
      <c r="E108" s="4">
        <f>+1.5</f>
        <v>1.5</v>
      </c>
    </row>
    <row r="109">
      <c r="A109" s="8" t="s">
        <v>39</v>
      </c>
      <c r="B109" s="5" t="s">
        <v>119</v>
      </c>
      <c r="C109" s="9">
        <v>0.333</v>
      </c>
      <c r="D109" s="7">
        <v>-6.3</v>
      </c>
      <c r="E109" s="7">
        <v>-4.1</v>
      </c>
    </row>
    <row r="110">
      <c r="A110" s="8" t="s">
        <v>65</v>
      </c>
      <c r="B110" s="5" t="s">
        <v>119</v>
      </c>
      <c r="C110" s="9">
        <v>0.333</v>
      </c>
      <c r="D110" s="7">
        <v>-6.9</v>
      </c>
      <c r="E110" s="7">
        <v>-5.0</v>
      </c>
    </row>
    <row r="111">
      <c r="A111" s="8" t="s">
        <v>83</v>
      </c>
      <c r="B111" s="5" t="s">
        <v>119</v>
      </c>
      <c r="C111" s="9">
        <v>0.333</v>
      </c>
      <c r="D111" s="7">
        <v>-11.8</v>
      </c>
      <c r="E111" s="7">
        <v>-4.2</v>
      </c>
    </row>
    <row r="112">
      <c r="A112" s="8" t="s">
        <v>135</v>
      </c>
      <c r="B112" s="5" t="s">
        <v>119</v>
      </c>
      <c r="C112" s="9">
        <v>0.333</v>
      </c>
      <c r="D112" s="7">
        <v>-1.8</v>
      </c>
      <c r="E112" s="7">
        <v>-0.3</v>
      </c>
    </row>
    <row r="113">
      <c r="A113" s="8" t="s">
        <v>104</v>
      </c>
      <c r="B113" s="5" t="s">
        <v>139</v>
      </c>
      <c r="C113" s="9">
        <v>0.25</v>
      </c>
      <c r="D113" s="7">
        <v>-6.5</v>
      </c>
      <c r="E113" s="7">
        <v>-3.0</v>
      </c>
    </row>
    <row r="114">
      <c r="A114" s="8" t="s">
        <v>74</v>
      </c>
      <c r="B114" s="5" t="s">
        <v>139</v>
      </c>
      <c r="C114" s="9">
        <v>0.25</v>
      </c>
      <c r="D114" s="7">
        <v>-7.5</v>
      </c>
      <c r="E114" s="7">
        <v>-5.6</v>
      </c>
    </row>
    <row r="115">
      <c r="A115" s="8" t="s">
        <v>148</v>
      </c>
      <c r="B115" s="5" t="s">
        <v>139</v>
      </c>
      <c r="C115" s="9">
        <v>0.25</v>
      </c>
      <c r="D115" s="7">
        <v>-8.6</v>
      </c>
      <c r="E115" s="7">
        <v>-4.0</v>
      </c>
    </row>
    <row r="116">
      <c r="A116" s="8" t="s">
        <v>5</v>
      </c>
      <c r="B116" s="5" t="s">
        <v>139</v>
      </c>
      <c r="C116" s="9">
        <v>0.25</v>
      </c>
      <c r="D116" s="7">
        <v>-7.8</v>
      </c>
      <c r="E116" s="7">
        <v>-0.1</v>
      </c>
    </row>
    <row r="117">
      <c r="A117" s="8" t="s">
        <v>113</v>
      </c>
      <c r="B117" s="5" t="s">
        <v>139</v>
      </c>
      <c r="C117" s="9">
        <v>0.25</v>
      </c>
      <c r="D117" s="7">
        <v>-10.3</v>
      </c>
      <c r="E117" s="7">
        <v>-9.1</v>
      </c>
    </row>
    <row r="118">
      <c r="A118" s="8" t="s">
        <v>78</v>
      </c>
      <c r="B118" s="5" t="s">
        <v>139</v>
      </c>
      <c r="C118" s="9">
        <v>0.25</v>
      </c>
      <c r="D118" s="7">
        <v>-5.9</v>
      </c>
      <c r="E118" s="7">
        <v>-5.5</v>
      </c>
    </row>
    <row r="119">
      <c r="A119" s="8" t="s">
        <v>79</v>
      </c>
      <c r="B119" s="5" t="s">
        <v>139</v>
      </c>
      <c r="C119" s="9">
        <v>0.25</v>
      </c>
      <c r="D119" s="7">
        <v>-12.6</v>
      </c>
      <c r="E119" s="7">
        <v>-5.4</v>
      </c>
    </row>
    <row r="120">
      <c r="A120" s="8" t="s">
        <v>131</v>
      </c>
      <c r="B120" s="5" t="s">
        <v>139</v>
      </c>
      <c r="C120" s="9">
        <v>0.25</v>
      </c>
      <c r="D120" s="7">
        <v>-17.1</v>
      </c>
      <c r="E120" s="7">
        <v>-1.7</v>
      </c>
    </row>
    <row r="121">
      <c r="A121" s="8" t="s">
        <v>64</v>
      </c>
      <c r="B121" s="5" t="s">
        <v>139</v>
      </c>
      <c r="C121" s="9">
        <v>0.25</v>
      </c>
      <c r="D121" s="7">
        <v>-14.1</v>
      </c>
      <c r="E121" s="7">
        <v>-4.4</v>
      </c>
    </row>
    <row r="122">
      <c r="A122" s="8" t="s">
        <v>31</v>
      </c>
      <c r="B122" s="5" t="s">
        <v>139</v>
      </c>
      <c r="C122" s="9">
        <v>0.25</v>
      </c>
      <c r="D122" s="7">
        <v>-10.5</v>
      </c>
      <c r="E122" s="7">
        <v>-0.4</v>
      </c>
    </row>
    <row r="123">
      <c r="A123" s="8" t="s">
        <v>115</v>
      </c>
      <c r="B123" s="5" t="s">
        <v>139</v>
      </c>
      <c r="C123" s="9">
        <v>0.25</v>
      </c>
      <c r="D123" s="7">
        <v>-14.6</v>
      </c>
      <c r="E123" s="7">
        <v>-8.5</v>
      </c>
    </row>
    <row r="124">
      <c r="A124" s="8" t="s">
        <v>66</v>
      </c>
      <c r="B124" s="5" t="s">
        <v>139</v>
      </c>
      <c r="C124" s="9">
        <v>0.25</v>
      </c>
      <c r="D124" s="7">
        <v>-7.2</v>
      </c>
      <c r="E124" s="7">
        <v>-6.6</v>
      </c>
    </row>
    <row r="125">
      <c r="A125" s="8" t="s">
        <v>43</v>
      </c>
      <c r="B125" s="5" t="s">
        <v>139</v>
      </c>
      <c r="C125" s="9">
        <v>0.25</v>
      </c>
      <c r="D125" s="7">
        <v>-10.8</v>
      </c>
      <c r="E125" s="7">
        <v>-2.6</v>
      </c>
    </row>
    <row r="126">
      <c r="A126" s="8" t="s">
        <v>160</v>
      </c>
      <c r="B126" s="5" t="s">
        <v>139</v>
      </c>
      <c r="C126" s="9">
        <v>0.25</v>
      </c>
      <c r="D126" s="7">
        <v>-14.7</v>
      </c>
      <c r="E126" s="7">
        <v>-3.9</v>
      </c>
    </row>
    <row r="127">
      <c r="A127" s="8" t="s">
        <v>155</v>
      </c>
      <c r="B127" s="5" t="s">
        <v>139</v>
      </c>
      <c r="C127" s="9">
        <v>0.25</v>
      </c>
      <c r="D127" s="7">
        <v>-6.2</v>
      </c>
      <c r="E127" s="7">
        <v>-0.1</v>
      </c>
    </row>
    <row r="128">
      <c r="A128" s="8" t="s">
        <v>159</v>
      </c>
      <c r="B128" s="5" t="s">
        <v>139</v>
      </c>
      <c r="C128" s="9">
        <v>0.25</v>
      </c>
      <c r="D128" s="7">
        <v>-11.1</v>
      </c>
      <c r="E128" s="7">
        <v>-3.6</v>
      </c>
    </row>
    <row r="129">
      <c r="A129" s="8" t="s">
        <v>102</v>
      </c>
      <c r="B129" s="5" t="s">
        <v>149</v>
      </c>
      <c r="C129" s="9">
        <v>0.167</v>
      </c>
      <c r="D129" s="7">
        <v>-11.8</v>
      </c>
      <c r="E129" s="7">
        <v>-5.5</v>
      </c>
    </row>
    <row r="130">
      <c r="A130" s="8" t="s">
        <v>140</v>
      </c>
      <c r="B130" s="5" t="s">
        <v>149</v>
      </c>
      <c r="C130" s="9">
        <v>0.167</v>
      </c>
      <c r="D130" s="7">
        <v>-16.1</v>
      </c>
      <c r="E130" s="7">
        <v>-2.1</v>
      </c>
    </row>
    <row r="131">
      <c r="A131" s="8" t="s">
        <v>22</v>
      </c>
      <c r="B131" s="5" t="s">
        <v>149</v>
      </c>
      <c r="C131" s="9">
        <v>0.167</v>
      </c>
      <c r="D131" s="7">
        <v>-13.3</v>
      </c>
      <c r="E131" s="7">
        <v>-4.3</v>
      </c>
    </row>
    <row r="132">
      <c r="A132" s="8" t="s">
        <v>59</v>
      </c>
      <c r="B132" s="5" t="s">
        <v>149</v>
      </c>
      <c r="C132" s="9">
        <v>0.167</v>
      </c>
      <c r="D132" s="7">
        <v>-5.1</v>
      </c>
      <c r="E132" s="4">
        <f>+1.8</f>
        <v>1.8</v>
      </c>
    </row>
    <row r="133">
      <c r="A133" s="8" t="s">
        <v>143</v>
      </c>
      <c r="B133" s="5" t="s">
        <v>149</v>
      </c>
      <c r="C133" s="9">
        <v>0.167</v>
      </c>
      <c r="D133" s="7">
        <v>-17.6</v>
      </c>
      <c r="E133" s="7">
        <v>-5.0</v>
      </c>
    </row>
    <row r="134">
      <c r="A134" s="8" t="s">
        <v>107</v>
      </c>
      <c r="B134" s="5" t="s">
        <v>157</v>
      </c>
      <c r="C134" s="9">
        <v>0.083</v>
      </c>
      <c r="D134" s="7">
        <v>-19.9</v>
      </c>
      <c r="E134" s="7">
        <v>-5.2</v>
      </c>
    </row>
    <row r="135">
      <c r="A135" s="8" t="s">
        <v>97</v>
      </c>
      <c r="B135" s="5" t="s">
        <v>338</v>
      </c>
      <c r="C135" s="9">
        <v>0.0</v>
      </c>
      <c r="D135" s="7">
        <v>-56.0</v>
      </c>
      <c r="E135" s="7">
        <v>-12.0</v>
      </c>
    </row>
    <row r="136">
      <c r="A136" s="8" t="s">
        <v>84</v>
      </c>
      <c r="B136" s="5" t="s">
        <v>338</v>
      </c>
      <c r="C136" s="9">
        <v>0.0</v>
      </c>
      <c r="D136" s="7">
        <v>-31.0</v>
      </c>
      <c r="E136" s="4">
        <f>+1.5</f>
        <v>1.5</v>
      </c>
    </row>
    <row r="137">
      <c r="A137" s="8" t="s">
        <v>32</v>
      </c>
      <c r="B137" s="5" t="s">
        <v>338</v>
      </c>
      <c r="C137" s="9">
        <v>0.0</v>
      </c>
      <c r="D137" s="7">
        <v>-3.0</v>
      </c>
      <c r="E137" s="4">
        <f>+13</f>
        <v>13</v>
      </c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</hyperlinks>
  <drawing r:id="rId1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7</v>
      </c>
      <c r="B2" s="5" t="s">
        <v>341</v>
      </c>
      <c r="C2" s="9">
        <v>1.0</v>
      </c>
      <c r="D2" s="7">
        <v>26.8</v>
      </c>
      <c r="E2" s="4">
        <f>+1.6</f>
        <v>1.6</v>
      </c>
    </row>
    <row r="3">
      <c r="A3" s="8" t="s">
        <v>97</v>
      </c>
      <c r="B3" s="5" t="s">
        <v>344</v>
      </c>
      <c r="C3" s="9">
        <v>1.0</v>
      </c>
      <c r="D3" s="7">
        <v>7.0</v>
      </c>
      <c r="E3" s="4">
        <f>+20</f>
        <v>20</v>
      </c>
    </row>
    <row r="4">
      <c r="A4" s="8" t="s">
        <v>33</v>
      </c>
      <c r="B4" s="5" t="s">
        <v>162</v>
      </c>
      <c r="C4" s="9">
        <v>0.929</v>
      </c>
      <c r="D4" s="7">
        <v>24.4</v>
      </c>
      <c r="E4" s="4">
        <f>+2.9</f>
        <v>2.9</v>
      </c>
    </row>
    <row r="5">
      <c r="A5" s="8" t="s">
        <v>60</v>
      </c>
      <c r="B5" s="5" t="s">
        <v>345</v>
      </c>
      <c r="C5" s="9">
        <v>0.867</v>
      </c>
      <c r="D5" s="7">
        <v>9.8</v>
      </c>
      <c r="E5" s="4">
        <f>+5.4</f>
        <v>5.4</v>
      </c>
    </row>
    <row r="6">
      <c r="A6" s="8" t="s">
        <v>16</v>
      </c>
      <c r="B6" s="5" t="s">
        <v>170</v>
      </c>
      <c r="C6" s="9">
        <v>0.857</v>
      </c>
      <c r="D6" s="7">
        <v>13.8</v>
      </c>
      <c r="E6" s="4">
        <f>+7.1</f>
        <v>7.1</v>
      </c>
    </row>
    <row r="7">
      <c r="A7" s="8" t="s">
        <v>68</v>
      </c>
      <c r="B7" s="5" t="s">
        <v>170</v>
      </c>
      <c r="C7" s="9">
        <v>0.857</v>
      </c>
      <c r="D7" s="7">
        <v>8.4</v>
      </c>
      <c r="E7" s="4">
        <f>+4.2</f>
        <v>4.2</v>
      </c>
    </row>
    <row r="8">
      <c r="A8" s="8" t="s">
        <v>54</v>
      </c>
      <c r="B8" s="5" t="s">
        <v>17</v>
      </c>
      <c r="C8" s="9">
        <v>0.846</v>
      </c>
      <c r="D8" s="7">
        <v>23.3</v>
      </c>
      <c r="E8" s="4">
        <f>+9</f>
        <v>9</v>
      </c>
    </row>
    <row r="9">
      <c r="A9" s="8" t="s">
        <v>28</v>
      </c>
      <c r="B9" s="5" t="s">
        <v>17</v>
      </c>
      <c r="C9" s="9">
        <v>0.846</v>
      </c>
      <c r="D9" s="7">
        <v>22.9</v>
      </c>
      <c r="E9" s="7">
        <v>-1.9</v>
      </c>
    </row>
    <row r="10">
      <c r="A10" s="8" t="s">
        <v>9</v>
      </c>
      <c r="B10" s="5" t="s">
        <v>17</v>
      </c>
      <c r="C10" s="9">
        <v>0.846</v>
      </c>
      <c r="D10" s="7">
        <v>23.2</v>
      </c>
      <c r="E10" s="7">
        <v>-2.2</v>
      </c>
    </row>
    <row r="11">
      <c r="A11" s="8" t="s">
        <v>91</v>
      </c>
      <c r="B11" s="5" t="s">
        <v>17</v>
      </c>
      <c r="C11" s="9">
        <v>0.846</v>
      </c>
      <c r="D11" s="7">
        <v>17.5</v>
      </c>
      <c r="E11" s="4">
        <f>+7.3</f>
        <v>7.3</v>
      </c>
    </row>
    <row r="12">
      <c r="A12" s="8" t="s">
        <v>63</v>
      </c>
      <c r="B12" s="5" t="s">
        <v>17</v>
      </c>
      <c r="C12" s="9">
        <v>0.846</v>
      </c>
      <c r="D12" s="7">
        <v>13.8</v>
      </c>
      <c r="E12" s="4">
        <f>+3.7</f>
        <v>3.7</v>
      </c>
    </row>
    <row r="13">
      <c r="A13" s="8" t="s">
        <v>41</v>
      </c>
      <c r="B13" s="5" t="s">
        <v>182</v>
      </c>
      <c r="C13" s="9">
        <v>0.786</v>
      </c>
      <c r="D13" s="7">
        <v>12.1</v>
      </c>
      <c r="E13" s="7">
        <v>-0.1</v>
      </c>
    </row>
    <row r="14">
      <c r="A14" s="8" t="s">
        <v>81</v>
      </c>
      <c r="B14" s="5" t="s">
        <v>182</v>
      </c>
      <c r="C14" s="9">
        <v>0.786</v>
      </c>
      <c r="D14" s="7">
        <v>12.4</v>
      </c>
      <c r="E14" s="7">
        <v>-2.8</v>
      </c>
    </row>
    <row r="15">
      <c r="A15" s="8" t="s">
        <v>101</v>
      </c>
      <c r="B15" s="5" t="s">
        <v>182</v>
      </c>
      <c r="C15" s="9">
        <v>0.786</v>
      </c>
      <c r="D15" s="7">
        <v>10.9</v>
      </c>
      <c r="E15" s="4">
        <f>+0.6</f>
        <v>0.6</v>
      </c>
    </row>
    <row r="16">
      <c r="A16" s="8" t="s">
        <v>129</v>
      </c>
      <c r="B16" s="5" t="s">
        <v>29</v>
      </c>
      <c r="C16" s="9">
        <v>0.769</v>
      </c>
      <c r="D16" s="7">
        <v>14.5</v>
      </c>
      <c r="E16" s="4">
        <f>+2.2</f>
        <v>2.2</v>
      </c>
    </row>
    <row r="17">
      <c r="A17" s="8" t="s">
        <v>153</v>
      </c>
      <c r="B17" s="5" t="s">
        <v>29</v>
      </c>
      <c r="C17" s="9">
        <v>0.769</v>
      </c>
      <c r="D17" s="7">
        <v>12.2</v>
      </c>
      <c r="E17" s="4">
        <f>+8.2</f>
        <v>8.2</v>
      </c>
    </row>
    <row r="18">
      <c r="A18" s="8" t="s">
        <v>15</v>
      </c>
      <c r="B18" s="5" t="s">
        <v>29</v>
      </c>
      <c r="C18" s="9">
        <v>0.769</v>
      </c>
      <c r="D18" s="7">
        <v>11.4</v>
      </c>
      <c r="E18" s="4">
        <f>+1.3</f>
        <v>1.3</v>
      </c>
    </row>
    <row r="19">
      <c r="A19" s="8" t="s">
        <v>114</v>
      </c>
      <c r="B19" s="5" t="s">
        <v>29</v>
      </c>
      <c r="C19" s="9">
        <v>0.769</v>
      </c>
      <c r="D19" s="7">
        <v>15.5</v>
      </c>
      <c r="E19" s="4">
        <f>+4.7</f>
        <v>4.7</v>
      </c>
    </row>
    <row r="20">
      <c r="A20" s="8" t="s">
        <v>137</v>
      </c>
      <c r="B20" s="5" t="s">
        <v>29</v>
      </c>
      <c r="C20" s="9">
        <v>0.769</v>
      </c>
      <c r="D20" s="7">
        <v>9.9</v>
      </c>
      <c r="E20" s="4">
        <f>+3</f>
        <v>3</v>
      </c>
    </row>
    <row r="21">
      <c r="A21" s="8" t="s">
        <v>11</v>
      </c>
      <c r="B21" s="5" t="s">
        <v>346</v>
      </c>
      <c r="C21" s="9">
        <v>0.727</v>
      </c>
      <c r="D21" s="7">
        <v>16.1</v>
      </c>
      <c r="E21" s="4">
        <f>+5</f>
        <v>5</v>
      </c>
    </row>
    <row r="22">
      <c r="A22" s="8" t="s">
        <v>50</v>
      </c>
      <c r="B22" s="5" t="s">
        <v>203</v>
      </c>
      <c r="C22" s="9">
        <v>0.714</v>
      </c>
      <c r="D22" s="7">
        <v>3.5</v>
      </c>
      <c r="E22" s="4">
        <f>+6.1</f>
        <v>6.1</v>
      </c>
    </row>
    <row r="23">
      <c r="A23" s="8" t="s">
        <v>47</v>
      </c>
      <c r="B23" s="5" t="s">
        <v>203</v>
      </c>
      <c r="C23" s="9">
        <v>0.714</v>
      </c>
      <c r="D23" s="7">
        <v>10.0</v>
      </c>
      <c r="E23" s="7">
        <v>-2.3</v>
      </c>
    </row>
    <row r="24">
      <c r="A24" s="8" t="s">
        <v>53</v>
      </c>
      <c r="B24" s="5" t="s">
        <v>203</v>
      </c>
      <c r="C24" s="9">
        <v>0.714</v>
      </c>
      <c r="D24" s="7">
        <v>11.1</v>
      </c>
      <c r="E24" s="4">
        <f>+1.6</f>
        <v>1.6</v>
      </c>
    </row>
    <row r="25">
      <c r="A25" s="8" t="s">
        <v>75</v>
      </c>
      <c r="B25" s="5" t="s">
        <v>203</v>
      </c>
      <c r="C25" s="9">
        <v>0.714</v>
      </c>
      <c r="D25" s="7">
        <v>12.0</v>
      </c>
      <c r="E25" s="4">
        <f>+5.4</f>
        <v>5.4</v>
      </c>
    </row>
    <row r="26">
      <c r="A26" s="8" t="s">
        <v>92</v>
      </c>
      <c r="B26" s="5" t="s">
        <v>203</v>
      </c>
      <c r="C26" s="9">
        <v>0.714</v>
      </c>
      <c r="D26" s="7">
        <v>10.4</v>
      </c>
      <c r="E26" s="4">
        <f>+7</f>
        <v>7</v>
      </c>
    </row>
    <row r="27">
      <c r="A27" s="8" t="s">
        <v>24</v>
      </c>
      <c r="B27" s="5" t="s">
        <v>203</v>
      </c>
      <c r="C27" s="9">
        <v>0.714</v>
      </c>
      <c r="D27" s="7">
        <v>17.2</v>
      </c>
      <c r="E27" s="4">
        <f>+4.5</f>
        <v>4.5</v>
      </c>
    </row>
    <row r="28">
      <c r="A28" s="8" t="s">
        <v>118</v>
      </c>
      <c r="B28" s="5" t="s">
        <v>46</v>
      </c>
      <c r="C28" s="9">
        <v>0.692</v>
      </c>
      <c r="D28" s="7">
        <v>1.3</v>
      </c>
      <c r="E28" s="4">
        <f>+1.8</f>
        <v>1.8</v>
      </c>
    </row>
    <row r="29">
      <c r="A29" s="8" t="s">
        <v>105</v>
      </c>
      <c r="B29" s="5" t="s">
        <v>46</v>
      </c>
      <c r="C29" s="9">
        <v>0.692</v>
      </c>
      <c r="D29" s="7">
        <v>8.5</v>
      </c>
      <c r="E29" s="4">
        <f>+0.7</f>
        <v>0.7</v>
      </c>
    </row>
    <row r="30">
      <c r="A30" s="8" t="s">
        <v>20</v>
      </c>
      <c r="B30" s="5" t="s">
        <v>46</v>
      </c>
      <c r="C30" s="9">
        <v>0.692</v>
      </c>
      <c r="D30" s="7">
        <v>8.8</v>
      </c>
      <c r="E30" s="4">
        <f>+1.5</f>
        <v>1.5</v>
      </c>
    </row>
    <row r="31">
      <c r="A31" s="8" t="s">
        <v>111</v>
      </c>
      <c r="B31" s="5" t="s">
        <v>46</v>
      </c>
      <c r="C31" s="9">
        <v>0.692</v>
      </c>
      <c r="D31" s="7">
        <v>8.5</v>
      </c>
      <c r="E31" s="4">
        <f>+1.3</f>
        <v>1.3</v>
      </c>
    </row>
    <row r="32">
      <c r="A32" s="8" t="s">
        <v>76</v>
      </c>
      <c r="B32" s="5" t="s">
        <v>46</v>
      </c>
      <c r="C32" s="9">
        <v>0.692</v>
      </c>
      <c r="D32" s="7">
        <v>14.4</v>
      </c>
      <c r="E32" s="4">
        <f>+1.2</f>
        <v>1.2</v>
      </c>
    </row>
    <row r="33">
      <c r="A33" s="8" t="s">
        <v>78</v>
      </c>
      <c r="B33" s="5" t="s">
        <v>46</v>
      </c>
      <c r="C33" s="9">
        <v>0.692</v>
      </c>
      <c r="D33" s="7">
        <v>8.6</v>
      </c>
      <c r="E33" s="7">
        <v>-2.0</v>
      </c>
    </row>
    <row r="34">
      <c r="A34" s="8" t="s">
        <v>145</v>
      </c>
      <c r="B34" s="5" t="s">
        <v>46</v>
      </c>
      <c r="C34" s="9">
        <v>0.692</v>
      </c>
      <c r="D34" s="7">
        <v>10.2</v>
      </c>
      <c r="E34" s="7">
        <v>-2.3</v>
      </c>
    </row>
    <row r="35">
      <c r="A35" s="8" t="s">
        <v>70</v>
      </c>
      <c r="B35" s="5" t="s">
        <v>46</v>
      </c>
      <c r="C35" s="9">
        <v>0.692</v>
      </c>
      <c r="D35" s="7">
        <v>10.8</v>
      </c>
      <c r="E35" s="4">
        <f>+8.7</f>
        <v>8.7</v>
      </c>
    </row>
    <row r="36">
      <c r="A36" s="8" t="s">
        <v>66</v>
      </c>
      <c r="B36" s="5" t="s">
        <v>46</v>
      </c>
      <c r="C36" s="9">
        <v>0.692</v>
      </c>
      <c r="D36" s="7">
        <v>7.0</v>
      </c>
      <c r="E36" s="4">
        <f>+0.3</f>
        <v>0.3</v>
      </c>
    </row>
    <row r="37">
      <c r="A37" s="8" t="s">
        <v>100</v>
      </c>
      <c r="B37" s="5" t="s">
        <v>46</v>
      </c>
      <c r="C37" s="9">
        <v>0.692</v>
      </c>
      <c r="D37" s="7">
        <v>-2.8</v>
      </c>
      <c r="E37" s="7">
        <v>-6.8</v>
      </c>
    </row>
    <row r="38">
      <c r="A38" s="8" t="s">
        <v>48</v>
      </c>
      <c r="B38" s="5" t="s">
        <v>224</v>
      </c>
      <c r="C38" s="9">
        <v>0.643</v>
      </c>
      <c r="D38" s="7">
        <v>6.2</v>
      </c>
      <c r="E38" s="7">
        <v>-2.5</v>
      </c>
    </row>
    <row r="39">
      <c r="A39" s="8" t="s">
        <v>106</v>
      </c>
      <c r="B39" s="5" t="s">
        <v>224</v>
      </c>
      <c r="C39" s="9">
        <v>0.643</v>
      </c>
      <c r="D39" s="7">
        <v>9.2</v>
      </c>
      <c r="E39" s="7">
        <v>-0.9</v>
      </c>
    </row>
    <row r="40">
      <c r="A40" s="8" t="s">
        <v>132</v>
      </c>
      <c r="B40" s="5" t="s">
        <v>224</v>
      </c>
      <c r="C40" s="9">
        <v>0.643</v>
      </c>
      <c r="D40" s="7">
        <v>3.6</v>
      </c>
      <c r="E40" s="7">
        <v>-1.9</v>
      </c>
    </row>
    <row r="41">
      <c r="A41" s="8" t="s">
        <v>67</v>
      </c>
      <c r="B41" s="5" t="s">
        <v>224</v>
      </c>
      <c r="C41" s="9">
        <v>0.643</v>
      </c>
      <c r="D41" s="7">
        <v>13.0</v>
      </c>
      <c r="E41" s="4">
        <f>+4.7</f>
        <v>4.7</v>
      </c>
    </row>
    <row r="42">
      <c r="A42" s="8" t="s">
        <v>123</v>
      </c>
      <c r="B42" s="5" t="s">
        <v>69</v>
      </c>
      <c r="C42" s="9">
        <v>0.615</v>
      </c>
      <c r="D42" s="7">
        <v>3.3</v>
      </c>
      <c r="E42" s="4">
        <f>+3.7</f>
        <v>3.7</v>
      </c>
    </row>
    <row r="43">
      <c r="A43" s="8" t="s">
        <v>12</v>
      </c>
      <c r="B43" s="5" t="s">
        <v>69</v>
      </c>
      <c r="C43" s="9">
        <v>0.615</v>
      </c>
      <c r="D43" s="7">
        <v>7.9</v>
      </c>
      <c r="E43" s="7">
        <v>-2.4</v>
      </c>
    </row>
    <row r="44">
      <c r="A44" s="8" t="s">
        <v>55</v>
      </c>
      <c r="B44" s="5" t="s">
        <v>69</v>
      </c>
      <c r="C44" s="9">
        <v>0.615</v>
      </c>
      <c r="D44" s="7">
        <v>11.5</v>
      </c>
      <c r="E44" s="4">
        <f>+7.3</f>
        <v>7.3</v>
      </c>
    </row>
    <row r="45">
      <c r="A45" s="8" t="s">
        <v>56</v>
      </c>
      <c r="B45" s="5" t="s">
        <v>69</v>
      </c>
      <c r="C45" s="9">
        <v>0.615</v>
      </c>
      <c r="D45" s="7">
        <v>4.4</v>
      </c>
      <c r="E45" s="4">
        <f>+2.7</f>
        <v>2.7</v>
      </c>
    </row>
    <row r="46">
      <c r="A46" s="8" t="s">
        <v>35</v>
      </c>
      <c r="B46" s="5" t="s">
        <v>69</v>
      </c>
      <c r="C46" s="9">
        <v>0.615</v>
      </c>
      <c r="D46" s="7">
        <v>12.8</v>
      </c>
      <c r="E46" s="4">
        <f>+4.7</f>
        <v>4.7</v>
      </c>
    </row>
    <row r="47">
      <c r="A47" s="8" t="s">
        <v>10</v>
      </c>
      <c r="B47" s="5" t="s">
        <v>69</v>
      </c>
      <c r="C47" s="9">
        <v>0.615</v>
      </c>
      <c r="D47" s="7">
        <v>5.1</v>
      </c>
      <c r="E47" s="4">
        <f>+5.3</f>
        <v>5.3</v>
      </c>
    </row>
    <row r="48">
      <c r="A48" s="8" t="s">
        <v>59</v>
      </c>
      <c r="B48" s="5" t="s">
        <v>69</v>
      </c>
      <c r="C48" s="9">
        <v>0.615</v>
      </c>
      <c r="D48" s="7">
        <v>5.4</v>
      </c>
      <c r="E48" s="7">
        <v>-0.1</v>
      </c>
    </row>
    <row r="49">
      <c r="A49" s="8" t="s">
        <v>36</v>
      </c>
      <c r="B49" s="5" t="s">
        <v>69</v>
      </c>
      <c r="C49" s="9">
        <v>0.615</v>
      </c>
      <c r="D49" s="7">
        <v>3.9</v>
      </c>
      <c r="E49" s="7">
        <v>-2.1</v>
      </c>
    </row>
    <row r="50">
      <c r="A50" s="8" t="s">
        <v>62</v>
      </c>
      <c r="B50" s="5" t="s">
        <v>69</v>
      </c>
      <c r="C50" s="9">
        <v>0.615</v>
      </c>
      <c r="D50" s="7">
        <v>7.8</v>
      </c>
      <c r="E50" s="4">
        <f>+5.8</f>
        <v>5.8</v>
      </c>
    </row>
    <row r="51">
      <c r="A51" s="8" t="s">
        <v>144</v>
      </c>
      <c r="B51" s="5" t="s">
        <v>69</v>
      </c>
      <c r="C51" s="9">
        <v>0.615</v>
      </c>
      <c r="D51" s="7">
        <v>1.2</v>
      </c>
      <c r="E51" s="4">
        <f>+3.4</f>
        <v>3.4</v>
      </c>
    </row>
    <row r="52">
      <c r="A52" s="8" t="s">
        <v>19</v>
      </c>
      <c r="B52" s="5" t="s">
        <v>69</v>
      </c>
      <c r="C52" s="9">
        <v>0.615</v>
      </c>
      <c r="D52" s="7">
        <v>1.8</v>
      </c>
      <c r="E52" s="7">
        <v>-5.5</v>
      </c>
    </row>
    <row r="53">
      <c r="A53" s="8" t="s">
        <v>65</v>
      </c>
      <c r="B53" s="5" t="s">
        <v>69</v>
      </c>
      <c r="C53" s="9">
        <v>0.615</v>
      </c>
      <c r="D53" s="7">
        <v>7.8</v>
      </c>
      <c r="E53" s="7">
        <v>-0.9</v>
      </c>
    </row>
    <row r="54">
      <c r="A54" s="8" t="s">
        <v>82</v>
      </c>
      <c r="B54" s="5" t="s">
        <v>69</v>
      </c>
      <c r="C54" s="9">
        <v>0.615</v>
      </c>
      <c r="D54" s="7">
        <v>5.2</v>
      </c>
      <c r="E54" s="7">
        <v>-4.1</v>
      </c>
    </row>
    <row r="55">
      <c r="A55" s="8" t="s">
        <v>133</v>
      </c>
      <c r="B55" s="5" t="s">
        <v>69</v>
      </c>
      <c r="C55" s="9">
        <v>0.615</v>
      </c>
      <c r="D55" s="7">
        <v>5.0</v>
      </c>
      <c r="E55" s="4">
        <f>+1.6</f>
        <v>1.6</v>
      </c>
    </row>
    <row r="56">
      <c r="A56" s="8" t="s">
        <v>136</v>
      </c>
      <c r="B56" s="5" t="s">
        <v>69</v>
      </c>
      <c r="C56" s="9">
        <v>0.615</v>
      </c>
      <c r="D56" s="7">
        <v>2.9</v>
      </c>
      <c r="E56" s="7">
        <v>-3.2</v>
      </c>
    </row>
    <row r="57">
      <c r="A57" s="8" t="s">
        <v>141</v>
      </c>
      <c r="B57" s="5" t="s">
        <v>73</v>
      </c>
      <c r="C57" s="9">
        <v>0.583</v>
      </c>
      <c r="D57" s="7">
        <v>5.4</v>
      </c>
      <c r="E57" s="7">
        <v>-2.0</v>
      </c>
    </row>
    <row r="58">
      <c r="A58" s="8" t="s">
        <v>151</v>
      </c>
      <c r="B58" s="5" t="s">
        <v>244</v>
      </c>
      <c r="C58" s="9">
        <v>0.571</v>
      </c>
      <c r="D58" s="7">
        <v>-0.8</v>
      </c>
      <c r="E58" s="7">
        <v>-3.9</v>
      </c>
    </row>
    <row r="59">
      <c r="A59" s="8" t="s">
        <v>104</v>
      </c>
      <c r="B59" s="5" t="s">
        <v>88</v>
      </c>
      <c r="C59" s="9">
        <v>0.539</v>
      </c>
      <c r="D59" s="7">
        <v>1.8</v>
      </c>
      <c r="E59" s="4">
        <f>+2.7</f>
        <v>2.7</v>
      </c>
    </row>
    <row r="60">
      <c r="A60" s="8" t="s">
        <v>51</v>
      </c>
      <c r="B60" s="5" t="s">
        <v>88</v>
      </c>
      <c r="C60" s="9">
        <v>0.539</v>
      </c>
      <c r="D60" s="7">
        <v>3.4</v>
      </c>
      <c r="E60" s="7">
        <v>-3.2</v>
      </c>
    </row>
    <row r="61">
      <c r="A61" s="8" t="s">
        <v>109</v>
      </c>
      <c r="B61" s="5" t="s">
        <v>88</v>
      </c>
      <c r="C61" s="9">
        <v>0.539</v>
      </c>
      <c r="D61" s="7">
        <v>1.2</v>
      </c>
      <c r="E61" s="7">
        <v>-2.2</v>
      </c>
    </row>
    <row r="62">
      <c r="A62" s="8" t="s">
        <v>150</v>
      </c>
      <c r="B62" s="5" t="s">
        <v>88</v>
      </c>
      <c r="C62" s="9">
        <v>0.539</v>
      </c>
      <c r="D62" s="7">
        <v>1.9</v>
      </c>
      <c r="E62" s="7">
        <v>-0.7</v>
      </c>
    </row>
    <row r="63">
      <c r="A63" s="8" t="s">
        <v>125</v>
      </c>
      <c r="B63" s="5" t="s">
        <v>88</v>
      </c>
      <c r="C63" s="9">
        <v>0.539</v>
      </c>
      <c r="D63" s="7">
        <v>6.1</v>
      </c>
      <c r="E63" s="7">
        <v>-3.2</v>
      </c>
    </row>
    <row r="64">
      <c r="A64" s="8" t="s">
        <v>156</v>
      </c>
      <c r="B64" s="5" t="s">
        <v>88</v>
      </c>
      <c r="C64" s="9">
        <v>0.539</v>
      </c>
      <c r="D64" s="7">
        <v>1.7</v>
      </c>
      <c r="E64" s="7">
        <v>-3.7</v>
      </c>
    </row>
    <row r="65">
      <c r="A65" s="8" t="s">
        <v>61</v>
      </c>
      <c r="B65" s="5" t="s">
        <v>88</v>
      </c>
      <c r="C65" s="9">
        <v>0.539</v>
      </c>
      <c r="D65" s="7">
        <v>9.3</v>
      </c>
      <c r="E65" s="4">
        <f>+4.3</f>
        <v>4.3</v>
      </c>
    </row>
    <row r="66">
      <c r="A66" s="8" t="s">
        <v>127</v>
      </c>
      <c r="B66" s="5" t="s">
        <v>88</v>
      </c>
      <c r="C66" s="9">
        <v>0.539</v>
      </c>
      <c r="D66" s="7">
        <v>6.9</v>
      </c>
      <c r="E66" s="7">
        <v>-2.4</v>
      </c>
    </row>
    <row r="67">
      <c r="A67" s="8" t="s">
        <v>79</v>
      </c>
      <c r="B67" s="5" t="s">
        <v>88</v>
      </c>
      <c r="C67" s="9">
        <v>0.539</v>
      </c>
      <c r="D67" s="7">
        <v>1.8</v>
      </c>
      <c r="E67" s="4">
        <f>+2.8</f>
        <v>2.8</v>
      </c>
    </row>
    <row r="68">
      <c r="A68" s="8" t="s">
        <v>128</v>
      </c>
      <c r="B68" s="5" t="s">
        <v>88</v>
      </c>
      <c r="C68" s="9">
        <v>0.539</v>
      </c>
      <c r="D68" s="7">
        <v>1.5</v>
      </c>
      <c r="E68" s="4">
        <f>+8.2</f>
        <v>8.2</v>
      </c>
    </row>
    <row r="69">
      <c r="A69" s="8" t="s">
        <v>130</v>
      </c>
      <c r="B69" s="5" t="s">
        <v>88</v>
      </c>
      <c r="C69" s="9">
        <v>0.539</v>
      </c>
      <c r="D69" s="7">
        <v>-2.7</v>
      </c>
      <c r="E69" s="4">
        <f>+0.4</f>
        <v>0.4</v>
      </c>
    </row>
    <row r="70">
      <c r="A70" s="8" t="s">
        <v>39</v>
      </c>
      <c r="B70" s="5" t="s">
        <v>88</v>
      </c>
      <c r="C70" s="9">
        <v>0.539</v>
      </c>
      <c r="D70" s="7">
        <v>0.9</v>
      </c>
      <c r="E70" s="7">
        <v>-2.9</v>
      </c>
    </row>
    <row r="71">
      <c r="A71" s="8" t="s">
        <v>96</v>
      </c>
      <c r="B71" s="5" t="s">
        <v>88</v>
      </c>
      <c r="C71" s="9">
        <v>0.539</v>
      </c>
      <c r="D71" s="7">
        <v>3.2</v>
      </c>
      <c r="E71" s="4">
        <f>+2.2</f>
        <v>2.2</v>
      </c>
    </row>
    <row r="72">
      <c r="A72" s="8" t="s">
        <v>147</v>
      </c>
      <c r="B72" s="5" t="s">
        <v>88</v>
      </c>
      <c r="C72" s="9">
        <v>0.539</v>
      </c>
      <c r="D72" s="7">
        <v>4.6</v>
      </c>
      <c r="E72" s="4">
        <f>+0.6</f>
        <v>0.6</v>
      </c>
    </row>
    <row r="73">
      <c r="A73" s="8" t="s">
        <v>85</v>
      </c>
      <c r="B73" s="5" t="s">
        <v>90</v>
      </c>
      <c r="C73" s="9">
        <v>0.5</v>
      </c>
      <c r="D73" s="7">
        <v>6.1</v>
      </c>
      <c r="E73" s="4">
        <f>+1.7</f>
        <v>1.7</v>
      </c>
    </row>
    <row r="74">
      <c r="A74" s="8" t="s">
        <v>18</v>
      </c>
      <c r="B74" s="5" t="s">
        <v>347</v>
      </c>
      <c r="C74" s="9">
        <v>0.5</v>
      </c>
      <c r="D74" s="7">
        <v>2.1</v>
      </c>
      <c r="E74" s="4">
        <f>+1.6</f>
        <v>1.6</v>
      </c>
    </row>
    <row r="75">
      <c r="A75" s="8" t="s">
        <v>117</v>
      </c>
      <c r="B75" s="5" t="s">
        <v>90</v>
      </c>
      <c r="C75" s="9">
        <v>0.5</v>
      </c>
      <c r="D75" s="7">
        <v>8.2</v>
      </c>
      <c r="E75" s="7">
        <v>-4.5</v>
      </c>
    </row>
    <row r="76">
      <c r="A76" s="8" t="s">
        <v>121</v>
      </c>
      <c r="B76" s="5" t="s">
        <v>261</v>
      </c>
      <c r="C76" s="9">
        <v>0.462</v>
      </c>
      <c r="D76" s="7">
        <v>-9.1</v>
      </c>
      <c r="E76" s="7">
        <v>-2.6</v>
      </c>
    </row>
    <row r="77">
      <c r="A77" s="8" t="s">
        <v>87</v>
      </c>
      <c r="B77" s="5" t="s">
        <v>261</v>
      </c>
      <c r="C77" s="9">
        <v>0.462</v>
      </c>
      <c r="D77" s="7">
        <v>-2.4</v>
      </c>
      <c r="E77" s="7">
        <v>-1.4</v>
      </c>
    </row>
    <row r="78">
      <c r="A78" s="8" t="s">
        <v>124</v>
      </c>
      <c r="B78" s="5" t="s">
        <v>261</v>
      </c>
      <c r="C78" s="9">
        <v>0.462</v>
      </c>
      <c r="D78" s="7">
        <v>0.7</v>
      </c>
      <c r="E78" s="7">
        <v>-2.5</v>
      </c>
    </row>
    <row r="79">
      <c r="A79" s="8" t="s">
        <v>58</v>
      </c>
      <c r="B79" s="5" t="s">
        <v>261</v>
      </c>
      <c r="C79" s="9">
        <v>0.462</v>
      </c>
      <c r="D79" s="7">
        <v>-0.3</v>
      </c>
      <c r="E79" s="7">
        <v>-1.2</v>
      </c>
    </row>
    <row r="80">
      <c r="A80" s="8" t="s">
        <v>112</v>
      </c>
      <c r="B80" s="5" t="s">
        <v>261</v>
      </c>
      <c r="C80" s="9">
        <v>0.462</v>
      </c>
      <c r="D80" s="7">
        <v>0.2</v>
      </c>
      <c r="E80" s="4">
        <f>+3.2</f>
        <v>3.2</v>
      </c>
    </row>
    <row r="81">
      <c r="A81" s="8" t="s">
        <v>23</v>
      </c>
      <c r="B81" s="5" t="s">
        <v>261</v>
      </c>
      <c r="C81" s="9">
        <v>0.462</v>
      </c>
      <c r="D81" s="7">
        <v>2.8</v>
      </c>
      <c r="E81" s="7">
        <v>-5.5</v>
      </c>
    </row>
    <row r="82">
      <c r="A82" s="8" t="s">
        <v>113</v>
      </c>
      <c r="B82" s="5" t="s">
        <v>261</v>
      </c>
      <c r="C82" s="9">
        <v>0.462</v>
      </c>
      <c r="D82" s="7">
        <v>5.3</v>
      </c>
      <c r="E82" s="7">
        <v>-0.3</v>
      </c>
    </row>
    <row r="83">
      <c r="A83" s="8" t="s">
        <v>93</v>
      </c>
      <c r="B83" s="5" t="s">
        <v>261</v>
      </c>
      <c r="C83" s="9">
        <v>0.462</v>
      </c>
      <c r="D83" s="7">
        <v>3.3</v>
      </c>
      <c r="E83" s="4">
        <f>+2.6</f>
        <v>2.6</v>
      </c>
    </row>
    <row r="84">
      <c r="A84" s="8" t="s">
        <v>94</v>
      </c>
      <c r="B84" s="5" t="s">
        <v>261</v>
      </c>
      <c r="C84" s="9">
        <v>0.462</v>
      </c>
      <c r="D84" s="7">
        <v>-8.9</v>
      </c>
      <c r="E84" s="7">
        <v>-5.7</v>
      </c>
    </row>
    <row r="85">
      <c r="A85" s="8" t="s">
        <v>43</v>
      </c>
      <c r="B85" s="5" t="s">
        <v>261</v>
      </c>
      <c r="C85" s="9">
        <v>0.462</v>
      </c>
      <c r="D85" s="7">
        <v>-6.8</v>
      </c>
      <c r="E85" s="4">
        <f>+6.2</f>
        <v>6.2</v>
      </c>
    </row>
    <row r="86">
      <c r="A86" s="8" t="s">
        <v>99</v>
      </c>
      <c r="B86" s="5" t="s">
        <v>261</v>
      </c>
      <c r="C86" s="9">
        <v>0.462</v>
      </c>
      <c r="D86" s="7">
        <v>1.1</v>
      </c>
      <c r="E86" s="4">
        <f>+3.1</f>
        <v>3.1</v>
      </c>
    </row>
    <row r="87">
      <c r="A87" s="8" t="s">
        <v>45</v>
      </c>
      <c r="B87" s="5" t="s">
        <v>103</v>
      </c>
      <c r="C87" s="9">
        <v>0.417</v>
      </c>
      <c r="D87" s="7">
        <v>-5.1</v>
      </c>
      <c r="E87" s="7">
        <v>-1.7</v>
      </c>
    </row>
    <row r="88">
      <c r="A88" s="8" t="s">
        <v>120</v>
      </c>
      <c r="B88" s="5" t="s">
        <v>103</v>
      </c>
      <c r="C88" s="9">
        <v>0.417</v>
      </c>
      <c r="D88" s="7">
        <v>-3.7</v>
      </c>
      <c r="E88" s="4">
        <f>+1.2</f>
        <v>1.2</v>
      </c>
    </row>
    <row r="89">
      <c r="A89" s="8" t="s">
        <v>107</v>
      </c>
      <c r="B89" s="5" t="s">
        <v>103</v>
      </c>
      <c r="C89" s="9">
        <v>0.417</v>
      </c>
      <c r="D89" s="7">
        <v>-0.6</v>
      </c>
      <c r="E89" s="4">
        <f>+1.3</f>
        <v>1.3</v>
      </c>
    </row>
    <row r="90">
      <c r="A90" s="8" t="s">
        <v>122</v>
      </c>
      <c r="B90" s="5" t="s">
        <v>103</v>
      </c>
      <c r="C90" s="9">
        <v>0.417</v>
      </c>
      <c r="D90" s="7">
        <v>-2.5</v>
      </c>
      <c r="E90" s="7">
        <v>-2.4</v>
      </c>
    </row>
    <row r="91">
      <c r="A91" s="8" t="s">
        <v>148</v>
      </c>
      <c r="B91" s="5" t="s">
        <v>103</v>
      </c>
      <c r="C91" s="9">
        <v>0.417</v>
      </c>
      <c r="D91" s="7">
        <v>-2.6</v>
      </c>
      <c r="E91" s="4">
        <f>+0.3</f>
        <v>0.3</v>
      </c>
    </row>
    <row r="92">
      <c r="A92" s="8" t="s">
        <v>22</v>
      </c>
      <c r="B92" s="5" t="s">
        <v>103</v>
      </c>
      <c r="C92" s="9">
        <v>0.417</v>
      </c>
      <c r="D92" s="7">
        <v>-11.4</v>
      </c>
      <c r="E92" s="4">
        <f>+1</f>
        <v>1</v>
      </c>
    </row>
    <row r="93">
      <c r="A93" s="8" t="s">
        <v>110</v>
      </c>
      <c r="B93" s="5" t="s">
        <v>103</v>
      </c>
      <c r="C93" s="9">
        <v>0.417</v>
      </c>
      <c r="D93" s="7">
        <v>-4.8</v>
      </c>
      <c r="E93" s="7">
        <v>-2.7</v>
      </c>
    </row>
    <row r="94">
      <c r="A94" s="8" t="s">
        <v>126</v>
      </c>
      <c r="B94" s="5" t="s">
        <v>103</v>
      </c>
      <c r="C94" s="9">
        <v>0.417</v>
      </c>
      <c r="D94" s="7">
        <v>-3.0</v>
      </c>
      <c r="E94" s="7">
        <v>-0.8</v>
      </c>
    </row>
    <row r="95">
      <c r="A95" s="8" t="s">
        <v>14</v>
      </c>
      <c r="B95" s="5" t="s">
        <v>103</v>
      </c>
      <c r="C95" s="9">
        <v>0.417</v>
      </c>
      <c r="D95" s="7">
        <v>1.6</v>
      </c>
      <c r="E95" s="7">
        <v>-3.0</v>
      </c>
    </row>
    <row r="96">
      <c r="A96" s="8" t="s">
        <v>30</v>
      </c>
      <c r="B96" s="5" t="s">
        <v>103</v>
      </c>
      <c r="C96" s="9">
        <v>0.417</v>
      </c>
      <c r="D96" s="7">
        <v>-2.2</v>
      </c>
      <c r="E96" s="7">
        <v>-2.0</v>
      </c>
    </row>
    <row r="97">
      <c r="A97" s="8" t="s">
        <v>40</v>
      </c>
      <c r="B97" s="5" t="s">
        <v>103</v>
      </c>
      <c r="C97" s="9">
        <v>0.417</v>
      </c>
      <c r="D97" s="7">
        <v>-5.7</v>
      </c>
      <c r="E97" s="4">
        <f>+1.5</f>
        <v>1.5</v>
      </c>
    </row>
    <row r="98">
      <c r="A98" s="8" t="s">
        <v>25</v>
      </c>
      <c r="B98" s="5" t="s">
        <v>103</v>
      </c>
      <c r="C98" s="9">
        <v>0.417</v>
      </c>
      <c r="D98" s="7">
        <v>-3.2</v>
      </c>
      <c r="E98" s="7">
        <v>-10.7</v>
      </c>
    </row>
    <row r="99">
      <c r="A99" s="8" t="s">
        <v>42</v>
      </c>
      <c r="B99" s="5" t="s">
        <v>103</v>
      </c>
      <c r="C99" s="9">
        <v>0.417</v>
      </c>
      <c r="D99" s="7">
        <v>-11.3</v>
      </c>
      <c r="E99" s="4">
        <f>+0.7</f>
        <v>0.7</v>
      </c>
    </row>
    <row r="100">
      <c r="A100" s="8" t="s">
        <v>134</v>
      </c>
      <c r="B100" s="5" t="s">
        <v>103</v>
      </c>
      <c r="C100" s="9">
        <v>0.417</v>
      </c>
      <c r="D100" s="7">
        <v>-2.3</v>
      </c>
      <c r="E100" s="7">
        <v>-2.2</v>
      </c>
    </row>
    <row r="101">
      <c r="A101" s="8" t="s">
        <v>135</v>
      </c>
      <c r="B101" s="5" t="s">
        <v>103</v>
      </c>
      <c r="C101" s="9">
        <v>0.417</v>
      </c>
      <c r="D101" s="7">
        <v>3.2</v>
      </c>
      <c r="E101" s="4">
        <f>+1.5</f>
        <v>1.5</v>
      </c>
    </row>
    <row r="102">
      <c r="A102" s="8" t="s">
        <v>108</v>
      </c>
      <c r="B102" s="5" t="s">
        <v>296</v>
      </c>
      <c r="C102" s="9">
        <v>0.385</v>
      </c>
      <c r="D102" s="7">
        <v>-8.9</v>
      </c>
      <c r="E102" s="7">
        <v>-1.4</v>
      </c>
    </row>
    <row r="103">
      <c r="A103" s="8" t="s">
        <v>72</v>
      </c>
      <c r="B103" s="5" t="s">
        <v>119</v>
      </c>
      <c r="C103" s="9">
        <v>0.333</v>
      </c>
      <c r="D103" s="7">
        <v>-3.4</v>
      </c>
      <c r="E103" s="7">
        <v>-5.5</v>
      </c>
    </row>
    <row r="104">
      <c r="A104" s="8" t="s">
        <v>26</v>
      </c>
      <c r="B104" s="5" t="s">
        <v>119</v>
      </c>
      <c r="C104" s="9">
        <v>0.333</v>
      </c>
      <c r="D104" s="7">
        <v>-2.4</v>
      </c>
      <c r="E104" s="4">
        <f>+3.8</f>
        <v>3.8</v>
      </c>
    </row>
    <row r="105">
      <c r="A105" s="8" t="s">
        <v>5</v>
      </c>
      <c r="B105" s="5" t="s">
        <v>119</v>
      </c>
      <c r="C105" s="9">
        <v>0.333</v>
      </c>
      <c r="D105" s="7">
        <v>-10.7</v>
      </c>
      <c r="E105" s="7">
        <v>-2.0</v>
      </c>
    </row>
    <row r="106">
      <c r="A106" s="8" t="s">
        <v>57</v>
      </c>
      <c r="B106" s="5" t="s">
        <v>119</v>
      </c>
      <c r="C106" s="9">
        <v>0.333</v>
      </c>
      <c r="D106" s="7">
        <v>-0.1</v>
      </c>
      <c r="E106" s="7">
        <v>-3.5</v>
      </c>
    </row>
    <row r="107">
      <c r="A107" s="8" t="s">
        <v>77</v>
      </c>
      <c r="B107" s="5" t="s">
        <v>119</v>
      </c>
      <c r="C107" s="9">
        <v>0.333</v>
      </c>
      <c r="D107" s="7">
        <v>-5.0</v>
      </c>
      <c r="E107" s="7">
        <v>-3.0</v>
      </c>
    </row>
    <row r="108">
      <c r="A108" s="8" t="s">
        <v>143</v>
      </c>
      <c r="B108" s="5" t="s">
        <v>119</v>
      </c>
      <c r="C108" s="9">
        <v>0.333</v>
      </c>
      <c r="D108" s="7">
        <v>-12.1</v>
      </c>
      <c r="E108" s="4">
        <f>+1.6</f>
        <v>1.6</v>
      </c>
    </row>
    <row r="109">
      <c r="A109" s="8" t="s">
        <v>80</v>
      </c>
      <c r="B109" s="5" t="s">
        <v>119</v>
      </c>
      <c r="C109" s="9">
        <v>0.333</v>
      </c>
      <c r="D109" s="7">
        <v>-3.9</v>
      </c>
      <c r="E109" s="7">
        <v>-1.0</v>
      </c>
    </row>
    <row r="110">
      <c r="A110" s="8" t="s">
        <v>116</v>
      </c>
      <c r="B110" s="5" t="s">
        <v>119</v>
      </c>
      <c r="C110" s="9">
        <v>0.333</v>
      </c>
      <c r="D110" s="7">
        <v>-11.8</v>
      </c>
      <c r="E110" s="7">
        <v>-5.8</v>
      </c>
    </row>
    <row r="111">
      <c r="A111" s="8" t="s">
        <v>83</v>
      </c>
      <c r="B111" s="5" t="s">
        <v>119</v>
      </c>
      <c r="C111" s="9">
        <v>0.333</v>
      </c>
      <c r="D111" s="7">
        <v>-18.6</v>
      </c>
      <c r="E111" s="7">
        <v>-3.7</v>
      </c>
    </row>
    <row r="112">
      <c r="A112" s="8" t="s">
        <v>98</v>
      </c>
      <c r="B112" s="5" t="s">
        <v>119</v>
      </c>
      <c r="C112" s="9">
        <v>0.333</v>
      </c>
      <c r="D112" s="7">
        <v>-5.3</v>
      </c>
      <c r="E112" s="4">
        <f>+0.1</f>
        <v>0.1</v>
      </c>
    </row>
    <row r="113">
      <c r="A113" s="8" t="s">
        <v>158</v>
      </c>
      <c r="B113" s="5" t="s">
        <v>119</v>
      </c>
      <c r="C113" s="9">
        <v>0.333</v>
      </c>
      <c r="D113" s="7">
        <v>-1.2</v>
      </c>
      <c r="E113" s="4">
        <f>+0.5</f>
        <v>0.5</v>
      </c>
    </row>
    <row r="114">
      <c r="A114" s="8" t="s">
        <v>31</v>
      </c>
      <c r="B114" s="5" t="s">
        <v>348</v>
      </c>
      <c r="C114" s="9">
        <v>0.3</v>
      </c>
      <c r="D114" s="7">
        <v>-7.0</v>
      </c>
      <c r="E114" s="7">
        <v>-6.7</v>
      </c>
    </row>
    <row r="115">
      <c r="A115" s="8" t="s">
        <v>146</v>
      </c>
      <c r="B115" s="5" t="s">
        <v>349</v>
      </c>
      <c r="C115" s="9">
        <v>0.273</v>
      </c>
      <c r="D115" s="7">
        <v>-5.5</v>
      </c>
      <c r="E115" s="7">
        <v>-3.8</v>
      </c>
    </row>
    <row r="116">
      <c r="A116" s="8" t="s">
        <v>138</v>
      </c>
      <c r="B116" s="5" t="s">
        <v>139</v>
      </c>
      <c r="C116" s="9">
        <v>0.25</v>
      </c>
      <c r="D116" s="7">
        <v>-5.5</v>
      </c>
      <c r="E116" s="7">
        <v>-6.7</v>
      </c>
    </row>
    <row r="117">
      <c r="A117" s="8" t="s">
        <v>74</v>
      </c>
      <c r="B117" s="5" t="s">
        <v>139</v>
      </c>
      <c r="C117" s="9">
        <v>0.25</v>
      </c>
      <c r="D117" s="7">
        <v>-8.9</v>
      </c>
      <c r="E117" s="7">
        <v>-0.9</v>
      </c>
    </row>
    <row r="118">
      <c r="A118" s="8" t="s">
        <v>95</v>
      </c>
      <c r="B118" s="5" t="s">
        <v>139</v>
      </c>
      <c r="C118" s="9">
        <v>0.25</v>
      </c>
      <c r="D118" s="7">
        <v>-6.4</v>
      </c>
      <c r="E118" s="7">
        <v>-1.0</v>
      </c>
    </row>
    <row r="119">
      <c r="A119" s="8" t="s">
        <v>152</v>
      </c>
      <c r="B119" s="5" t="s">
        <v>139</v>
      </c>
      <c r="C119" s="9">
        <v>0.25</v>
      </c>
      <c r="D119" s="7">
        <v>-13.8</v>
      </c>
      <c r="E119" s="7">
        <v>-3.6</v>
      </c>
    </row>
    <row r="120">
      <c r="A120" s="8" t="s">
        <v>131</v>
      </c>
      <c r="B120" s="5" t="s">
        <v>139</v>
      </c>
      <c r="C120" s="9">
        <v>0.25</v>
      </c>
      <c r="D120" s="7">
        <v>-10.8</v>
      </c>
      <c r="E120" s="7">
        <v>-4.7</v>
      </c>
    </row>
    <row r="121">
      <c r="A121" s="8" t="s">
        <v>64</v>
      </c>
      <c r="B121" s="5" t="s">
        <v>139</v>
      </c>
      <c r="C121" s="9">
        <v>0.25</v>
      </c>
      <c r="D121" s="7">
        <v>-5.3</v>
      </c>
      <c r="E121" s="7">
        <v>-1.8</v>
      </c>
    </row>
    <row r="122">
      <c r="A122" s="8" t="s">
        <v>115</v>
      </c>
      <c r="B122" s="5" t="s">
        <v>139</v>
      </c>
      <c r="C122" s="9">
        <v>0.25</v>
      </c>
      <c r="D122" s="7">
        <v>-7.3</v>
      </c>
      <c r="E122" s="4">
        <f>+2.9</f>
        <v>2.9</v>
      </c>
    </row>
    <row r="123">
      <c r="A123" s="8" t="s">
        <v>154</v>
      </c>
      <c r="B123" s="5" t="s">
        <v>139</v>
      </c>
      <c r="C123" s="9">
        <v>0.25</v>
      </c>
      <c r="D123" s="7">
        <v>-12.6</v>
      </c>
      <c r="E123" s="7">
        <v>-5.2</v>
      </c>
    </row>
    <row r="124">
      <c r="A124" s="8" t="s">
        <v>44</v>
      </c>
      <c r="B124" s="5" t="s">
        <v>139</v>
      </c>
      <c r="C124" s="9">
        <v>0.25</v>
      </c>
      <c r="D124" s="7">
        <v>-7.1</v>
      </c>
      <c r="E124" s="7">
        <v>-0.2</v>
      </c>
    </row>
    <row r="125">
      <c r="A125" s="8" t="s">
        <v>159</v>
      </c>
      <c r="B125" s="5" t="s">
        <v>139</v>
      </c>
      <c r="C125" s="9">
        <v>0.25</v>
      </c>
      <c r="D125" s="7">
        <v>-15.0</v>
      </c>
      <c r="E125" s="7">
        <v>-4.5</v>
      </c>
    </row>
    <row r="126">
      <c r="A126" s="8" t="s">
        <v>52</v>
      </c>
      <c r="B126" s="5" t="s">
        <v>325</v>
      </c>
      <c r="C126" s="9">
        <v>0.231</v>
      </c>
      <c r="D126" s="7">
        <v>-14.9</v>
      </c>
      <c r="E126" s="7">
        <v>-0.5</v>
      </c>
    </row>
    <row r="127">
      <c r="A127" s="8" t="s">
        <v>102</v>
      </c>
      <c r="B127" s="5" t="s">
        <v>149</v>
      </c>
      <c r="C127" s="9">
        <v>0.167</v>
      </c>
      <c r="D127" s="7">
        <v>-11.8</v>
      </c>
      <c r="E127" s="4">
        <f>+2.7</f>
        <v>2.7</v>
      </c>
    </row>
    <row r="128">
      <c r="A128" s="8" t="s">
        <v>140</v>
      </c>
      <c r="B128" s="5" t="s">
        <v>149</v>
      </c>
      <c r="C128" s="9">
        <v>0.167</v>
      </c>
      <c r="D128" s="7">
        <v>-12.1</v>
      </c>
      <c r="E128" s="7">
        <v>-2.4</v>
      </c>
    </row>
    <row r="129">
      <c r="A129" s="8" t="s">
        <v>38</v>
      </c>
      <c r="B129" s="5" t="s">
        <v>149</v>
      </c>
      <c r="C129" s="9">
        <v>0.167</v>
      </c>
      <c r="D129" s="7">
        <v>-12.9</v>
      </c>
      <c r="E129" s="7">
        <v>-2.8</v>
      </c>
    </row>
    <row r="130">
      <c r="A130" s="8" t="s">
        <v>89</v>
      </c>
      <c r="B130" s="5" t="s">
        <v>157</v>
      </c>
      <c r="C130" s="9">
        <v>0.083</v>
      </c>
      <c r="D130" s="7">
        <v>-14.6</v>
      </c>
      <c r="E130" s="7">
        <v>-3.9</v>
      </c>
    </row>
    <row r="131">
      <c r="A131" s="8" t="s">
        <v>142</v>
      </c>
      <c r="B131" s="5" t="s">
        <v>157</v>
      </c>
      <c r="C131" s="9">
        <v>0.083</v>
      </c>
      <c r="D131" s="7">
        <v>-29.1</v>
      </c>
      <c r="E131" s="7">
        <v>-6.1</v>
      </c>
    </row>
    <row r="132">
      <c r="A132" s="8" t="s">
        <v>37</v>
      </c>
      <c r="B132" s="5" t="s">
        <v>157</v>
      </c>
      <c r="C132" s="9">
        <v>0.083</v>
      </c>
      <c r="D132" s="7">
        <v>-13.2</v>
      </c>
      <c r="E132" s="7">
        <v>-2.9</v>
      </c>
    </row>
    <row r="133">
      <c r="A133" s="8" t="s">
        <v>160</v>
      </c>
      <c r="B133" s="5" t="s">
        <v>157</v>
      </c>
      <c r="C133" s="9">
        <v>0.083</v>
      </c>
      <c r="D133" s="7">
        <v>-18.6</v>
      </c>
      <c r="E133" s="7">
        <v>-1.1</v>
      </c>
    </row>
    <row r="134">
      <c r="A134" s="8" t="s">
        <v>155</v>
      </c>
      <c r="B134" s="5" t="s">
        <v>338</v>
      </c>
      <c r="C134" s="9">
        <v>0.0</v>
      </c>
      <c r="D134" s="7">
        <v>-31.0</v>
      </c>
      <c r="E134" s="4">
        <f>+4.5</f>
        <v>4.5</v>
      </c>
    </row>
    <row r="135">
      <c r="A135" s="8" t="s">
        <v>71</v>
      </c>
      <c r="B135" s="5" t="s">
        <v>338</v>
      </c>
      <c r="C135" s="9">
        <v>0.0</v>
      </c>
      <c r="D135" s="7">
        <v>-37.0</v>
      </c>
      <c r="E135" s="7">
        <v>-24.5</v>
      </c>
    </row>
    <row r="136">
      <c r="A136" s="8" t="s">
        <v>84</v>
      </c>
      <c r="B136" s="5" t="s">
        <v>338</v>
      </c>
      <c r="C136" s="9">
        <v>0.0</v>
      </c>
      <c r="D136" s="7">
        <v>-11.0</v>
      </c>
      <c r="E136" s="4">
        <f>+15</f>
        <v>15</v>
      </c>
    </row>
    <row r="137">
      <c r="A137" s="8" t="s">
        <v>32</v>
      </c>
      <c r="B137" s="5" t="s">
        <v>338</v>
      </c>
      <c r="C137" s="9">
        <v>0.0</v>
      </c>
      <c r="D137" s="7">
        <v>-53.0</v>
      </c>
      <c r="E137" s="7">
        <v>-24.5</v>
      </c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</hyperlinks>
  <drawing r:id="rId13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7</v>
      </c>
      <c r="B2" s="5" t="s">
        <v>342</v>
      </c>
      <c r="C2" s="9">
        <v>0.933</v>
      </c>
      <c r="D2" s="7">
        <v>28.4</v>
      </c>
      <c r="E2" s="4">
        <f>+7.3</f>
        <v>7.3</v>
      </c>
    </row>
    <row r="3">
      <c r="A3" s="8" t="s">
        <v>78</v>
      </c>
      <c r="B3" s="5" t="s">
        <v>162</v>
      </c>
      <c r="C3" s="9">
        <v>0.929</v>
      </c>
      <c r="D3" s="7">
        <v>20.0</v>
      </c>
      <c r="E3" s="4">
        <f>+2.7</f>
        <v>2.7</v>
      </c>
    </row>
    <row r="4">
      <c r="A4" s="8" t="s">
        <v>93</v>
      </c>
      <c r="B4" s="5" t="s">
        <v>162</v>
      </c>
      <c r="C4" s="9">
        <v>0.929</v>
      </c>
      <c r="D4" s="7">
        <v>12.6</v>
      </c>
      <c r="E4" s="4">
        <f>+2.9</f>
        <v>2.9</v>
      </c>
    </row>
    <row r="5">
      <c r="A5" s="8" t="s">
        <v>28</v>
      </c>
      <c r="B5" s="5" t="s">
        <v>345</v>
      </c>
      <c r="C5" s="9">
        <v>0.867</v>
      </c>
      <c r="D5" s="7">
        <v>19.7</v>
      </c>
      <c r="E5" s="7">
        <v>-2.5</v>
      </c>
    </row>
    <row r="6">
      <c r="A6" s="8" t="s">
        <v>33</v>
      </c>
      <c r="B6" s="5" t="s">
        <v>170</v>
      </c>
      <c r="C6" s="9">
        <v>0.857</v>
      </c>
      <c r="D6" s="7">
        <v>18.4</v>
      </c>
      <c r="E6" s="4">
        <f>+8.8</f>
        <v>8.8</v>
      </c>
    </row>
    <row r="7">
      <c r="A7" s="8" t="s">
        <v>113</v>
      </c>
      <c r="B7" s="5" t="s">
        <v>170</v>
      </c>
      <c r="C7" s="9">
        <v>0.857</v>
      </c>
      <c r="D7" s="7">
        <v>13.4</v>
      </c>
      <c r="E7" s="4">
        <f>+7.7</f>
        <v>7.7</v>
      </c>
    </row>
    <row r="8">
      <c r="A8" s="8" t="s">
        <v>156</v>
      </c>
      <c r="B8" s="5" t="s">
        <v>170</v>
      </c>
      <c r="C8" s="9">
        <v>0.857</v>
      </c>
      <c r="D8" s="7">
        <v>13.0</v>
      </c>
      <c r="E8" s="4">
        <f>+5.4</f>
        <v>5.4</v>
      </c>
    </row>
    <row r="9">
      <c r="A9" s="8" t="s">
        <v>36</v>
      </c>
      <c r="B9" s="5" t="s">
        <v>170</v>
      </c>
      <c r="C9" s="9">
        <v>0.857</v>
      </c>
      <c r="D9" s="7">
        <v>15.4</v>
      </c>
      <c r="E9" s="4">
        <f>+4.1</f>
        <v>4.1</v>
      </c>
    </row>
    <row r="10">
      <c r="A10" s="8" t="s">
        <v>39</v>
      </c>
      <c r="B10" s="5" t="s">
        <v>170</v>
      </c>
      <c r="C10" s="9">
        <v>0.857</v>
      </c>
      <c r="D10" s="7">
        <v>7.6</v>
      </c>
      <c r="E10" s="4">
        <f>+0.7</f>
        <v>0.7</v>
      </c>
    </row>
    <row r="11">
      <c r="A11" s="8" t="s">
        <v>101</v>
      </c>
      <c r="B11" s="5" t="s">
        <v>170</v>
      </c>
      <c r="C11" s="9">
        <v>0.857</v>
      </c>
      <c r="D11" s="7">
        <v>12.2</v>
      </c>
      <c r="E11" s="4">
        <f>+2.8</f>
        <v>2.8</v>
      </c>
    </row>
    <row r="12">
      <c r="A12" s="8" t="s">
        <v>20</v>
      </c>
      <c r="B12" s="5" t="s">
        <v>17</v>
      </c>
      <c r="C12" s="9">
        <v>0.846</v>
      </c>
      <c r="D12" s="7">
        <v>15.5</v>
      </c>
      <c r="E12" s="4">
        <f>+7.8</f>
        <v>7.8</v>
      </c>
    </row>
    <row r="13">
      <c r="A13" s="8" t="s">
        <v>9</v>
      </c>
      <c r="B13" s="5" t="s">
        <v>17</v>
      </c>
      <c r="C13" s="9">
        <v>0.846</v>
      </c>
      <c r="D13" s="7">
        <v>22.9</v>
      </c>
      <c r="E13" s="4">
        <f t="shared" ref="E13:E14" si="1">+4.3</f>
        <v>4.3</v>
      </c>
    </row>
    <row r="14">
      <c r="A14" s="8" t="s">
        <v>126</v>
      </c>
      <c r="B14" s="5" t="s">
        <v>17</v>
      </c>
      <c r="C14" s="9">
        <v>0.846</v>
      </c>
      <c r="D14" s="7">
        <v>6.5</v>
      </c>
      <c r="E14" s="4">
        <f t="shared" si="1"/>
        <v>4.3</v>
      </c>
    </row>
    <row r="15">
      <c r="A15" s="8" t="s">
        <v>23</v>
      </c>
      <c r="B15" s="5" t="s">
        <v>17</v>
      </c>
      <c r="C15" s="9">
        <v>0.846</v>
      </c>
      <c r="D15" s="7">
        <v>13.3</v>
      </c>
      <c r="E15" s="7">
        <v>-3.5</v>
      </c>
    </row>
    <row r="16">
      <c r="A16" s="8" t="s">
        <v>100</v>
      </c>
      <c r="B16" s="5" t="s">
        <v>17</v>
      </c>
      <c r="C16" s="9">
        <v>0.846</v>
      </c>
      <c r="D16" s="7">
        <v>19.3</v>
      </c>
      <c r="E16" s="7">
        <v>-1.0</v>
      </c>
    </row>
    <row r="17">
      <c r="A17" s="8" t="s">
        <v>94</v>
      </c>
      <c r="B17" s="5" t="s">
        <v>182</v>
      </c>
      <c r="C17" s="9">
        <v>0.786</v>
      </c>
      <c r="D17" s="7">
        <v>8.1</v>
      </c>
      <c r="E17" s="4">
        <f>+8.5</f>
        <v>8.5</v>
      </c>
    </row>
    <row r="18">
      <c r="A18" s="8" t="s">
        <v>65</v>
      </c>
      <c r="B18" s="5" t="s">
        <v>182</v>
      </c>
      <c r="C18" s="9">
        <v>0.786</v>
      </c>
      <c r="D18" s="7">
        <v>12.1</v>
      </c>
      <c r="E18" s="4">
        <f>+3.4</f>
        <v>3.4</v>
      </c>
    </row>
    <row r="19">
      <c r="A19" s="8" t="s">
        <v>66</v>
      </c>
      <c r="B19" s="5" t="s">
        <v>182</v>
      </c>
      <c r="C19" s="9">
        <v>0.786</v>
      </c>
      <c r="D19" s="7">
        <v>17.8</v>
      </c>
      <c r="E19" s="4">
        <f>+6.5</f>
        <v>6.5</v>
      </c>
    </row>
    <row r="20">
      <c r="A20" s="8" t="s">
        <v>53</v>
      </c>
      <c r="B20" s="5" t="s">
        <v>29</v>
      </c>
      <c r="C20" s="9">
        <v>0.769</v>
      </c>
      <c r="D20" s="7">
        <v>12.8</v>
      </c>
      <c r="E20" s="4">
        <f>+2.9</f>
        <v>2.9</v>
      </c>
    </row>
    <row r="21">
      <c r="A21" s="8" t="s">
        <v>109</v>
      </c>
      <c r="B21" s="5" t="s">
        <v>29</v>
      </c>
      <c r="C21" s="9">
        <v>0.769</v>
      </c>
      <c r="D21" s="7">
        <v>10.6</v>
      </c>
      <c r="E21" s="4">
        <f>+2.8</f>
        <v>2.8</v>
      </c>
    </row>
    <row r="22">
      <c r="A22" s="8" t="s">
        <v>12</v>
      </c>
      <c r="B22" s="5" t="s">
        <v>29</v>
      </c>
      <c r="C22" s="9">
        <v>0.769</v>
      </c>
      <c r="D22" s="7">
        <v>9.0</v>
      </c>
      <c r="E22" s="4">
        <f>+1.4</f>
        <v>1.4</v>
      </c>
    </row>
    <row r="23">
      <c r="A23" s="8" t="s">
        <v>129</v>
      </c>
      <c r="B23" s="5" t="s">
        <v>29</v>
      </c>
      <c r="C23" s="9">
        <v>0.769</v>
      </c>
      <c r="D23" s="7">
        <v>11.2</v>
      </c>
      <c r="E23" s="4">
        <f>+3.3</f>
        <v>3.3</v>
      </c>
    </row>
    <row r="24">
      <c r="A24" s="8" t="s">
        <v>19</v>
      </c>
      <c r="B24" s="5" t="s">
        <v>29</v>
      </c>
      <c r="C24" s="9">
        <v>0.769</v>
      </c>
      <c r="D24" s="7">
        <v>8.3</v>
      </c>
      <c r="E24" s="7">
        <v>-0.2</v>
      </c>
    </row>
    <row r="25">
      <c r="A25" s="8" t="s">
        <v>81</v>
      </c>
      <c r="B25" s="5" t="s">
        <v>29</v>
      </c>
      <c r="C25" s="9">
        <v>0.769</v>
      </c>
      <c r="D25" s="7">
        <v>11.5</v>
      </c>
      <c r="E25" s="7">
        <v>-2.8</v>
      </c>
    </row>
    <row r="26">
      <c r="A26" s="8" t="s">
        <v>82</v>
      </c>
      <c r="B26" s="5" t="s">
        <v>34</v>
      </c>
      <c r="C26" s="9">
        <v>0.75</v>
      </c>
      <c r="D26" s="7">
        <v>13.4</v>
      </c>
      <c r="E26" s="4">
        <f>+6.1</f>
        <v>6.1</v>
      </c>
    </row>
    <row r="27">
      <c r="A27" s="8" t="s">
        <v>56</v>
      </c>
      <c r="B27" s="5" t="s">
        <v>203</v>
      </c>
      <c r="C27" s="9">
        <v>0.714</v>
      </c>
      <c r="D27" s="7">
        <v>4.2</v>
      </c>
      <c r="E27" s="7">
        <v>-0.8</v>
      </c>
    </row>
    <row r="28">
      <c r="A28" s="8" t="s">
        <v>24</v>
      </c>
      <c r="B28" s="5" t="s">
        <v>203</v>
      </c>
      <c r="C28" s="9">
        <v>0.714</v>
      </c>
      <c r="D28" s="7">
        <v>13.6</v>
      </c>
      <c r="E28" s="4">
        <f>+4.5</f>
        <v>4.5</v>
      </c>
    </row>
    <row r="29">
      <c r="A29" s="8" t="s">
        <v>15</v>
      </c>
      <c r="B29" s="5" t="s">
        <v>203</v>
      </c>
      <c r="C29" s="9">
        <v>0.714</v>
      </c>
      <c r="D29" s="7">
        <v>4.4</v>
      </c>
      <c r="E29" s="7">
        <v>-5.3</v>
      </c>
    </row>
    <row r="30">
      <c r="A30" s="8" t="s">
        <v>117</v>
      </c>
      <c r="B30" s="5" t="s">
        <v>203</v>
      </c>
      <c r="C30" s="9">
        <v>0.714</v>
      </c>
      <c r="D30" s="7">
        <v>12.4</v>
      </c>
      <c r="E30" s="4">
        <f>+0.9</f>
        <v>0.9</v>
      </c>
    </row>
    <row r="31">
      <c r="A31" s="8" t="s">
        <v>72</v>
      </c>
      <c r="B31" s="5" t="s">
        <v>46</v>
      </c>
      <c r="C31" s="9">
        <v>0.692</v>
      </c>
      <c r="D31" s="7">
        <v>6.5</v>
      </c>
      <c r="E31" s="4">
        <f>+4.8</f>
        <v>4.8</v>
      </c>
    </row>
    <row r="32">
      <c r="A32" s="8" t="s">
        <v>106</v>
      </c>
      <c r="B32" s="5" t="s">
        <v>46</v>
      </c>
      <c r="C32" s="9">
        <v>0.692</v>
      </c>
      <c r="D32" s="7">
        <v>7.4</v>
      </c>
      <c r="E32" s="7">
        <v>-2.0</v>
      </c>
    </row>
    <row r="33">
      <c r="A33" s="8" t="s">
        <v>150</v>
      </c>
      <c r="B33" s="5" t="s">
        <v>46</v>
      </c>
      <c r="C33" s="9">
        <v>0.692</v>
      </c>
      <c r="D33" s="7">
        <v>8.0</v>
      </c>
      <c r="E33" s="4">
        <f>+2.6</f>
        <v>2.6</v>
      </c>
    </row>
    <row r="34">
      <c r="A34" s="8" t="s">
        <v>125</v>
      </c>
      <c r="B34" s="5" t="s">
        <v>46</v>
      </c>
      <c r="C34" s="9">
        <v>0.692</v>
      </c>
      <c r="D34" s="7">
        <v>9.2</v>
      </c>
      <c r="E34" s="7">
        <v>-1.2</v>
      </c>
    </row>
    <row r="35">
      <c r="A35" s="8" t="s">
        <v>76</v>
      </c>
      <c r="B35" s="5" t="s">
        <v>46</v>
      </c>
      <c r="C35" s="9">
        <v>0.692</v>
      </c>
      <c r="D35" s="7">
        <v>8.2</v>
      </c>
      <c r="E35" s="4">
        <f>+4</f>
        <v>4</v>
      </c>
    </row>
    <row r="36">
      <c r="A36" s="8" t="s">
        <v>151</v>
      </c>
      <c r="B36" s="5" t="s">
        <v>46</v>
      </c>
      <c r="C36" s="9">
        <v>0.692</v>
      </c>
      <c r="D36" s="7">
        <v>6.7</v>
      </c>
      <c r="E36" s="4">
        <f>+4.8</f>
        <v>4.8</v>
      </c>
    </row>
    <row r="37">
      <c r="A37" s="8" t="s">
        <v>127</v>
      </c>
      <c r="B37" s="5" t="s">
        <v>46</v>
      </c>
      <c r="C37" s="9">
        <v>0.692</v>
      </c>
      <c r="D37" s="7">
        <v>6.3</v>
      </c>
      <c r="E37" s="4">
        <f>+1.3</f>
        <v>1.3</v>
      </c>
    </row>
    <row r="38">
      <c r="A38" s="8" t="s">
        <v>85</v>
      </c>
      <c r="B38" s="5" t="s">
        <v>46</v>
      </c>
      <c r="C38" s="9">
        <v>0.692</v>
      </c>
      <c r="D38" s="7">
        <v>10.5</v>
      </c>
      <c r="E38" s="4">
        <f>+0.2</f>
        <v>0.2</v>
      </c>
    </row>
    <row r="39">
      <c r="A39" s="8" t="s">
        <v>51</v>
      </c>
      <c r="B39" s="5" t="s">
        <v>49</v>
      </c>
      <c r="C39" s="9">
        <v>0.667</v>
      </c>
      <c r="D39" s="7">
        <v>10.0</v>
      </c>
      <c r="E39" s="4">
        <f>+0.3</f>
        <v>0.3</v>
      </c>
    </row>
    <row r="40">
      <c r="A40" s="8" t="s">
        <v>14</v>
      </c>
      <c r="B40" s="5" t="s">
        <v>49</v>
      </c>
      <c r="C40" s="9">
        <v>0.667</v>
      </c>
      <c r="D40" s="7">
        <v>13.4</v>
      </c>
      <c r="E40" s="4">
        <f>+0.6</f>
        <v>0.6</v>
      </c>
    </row>
    <row r="41">
      <c r="A41" s="8" t="s">
        <v>145</v>
      </c>
      <c r="B41" s="5" t="s">
        <v>49</v>
      </c>
      <c r="C41" s="9">
        <v>0.667</v>
      </c>
      <c r="D41" s="7">
        <v>9.8</v>
      </c>
      <c r="E41" s="4">
        <f>+3.8</f>
        <v>3.8</v>
      </c>
    </row>
    <row r="42">
      <c r="A42" s="8" t="s">
        <v>138</v>
      </c>
      <c r="B42" s="5" t="s">
        <v>224</v>
      </c>
      <c r="C42" s="9">
        <v>0.643</v>
      </c>
      <c r="D42" s="7">
        <v>-1.5</v>
      </c>
      <c r="E42" s="4">
        <f>+3.5</f>
        <v>3.5</v>
      </c>
    </row>
    <row r="43">
      <c r="A43" s="8" t="s">
        <v>67</v>
      </c>
      <c r="B43" s="5" t="s">
        <v>224</v>
      </c>
      <c r="C43" s="9">
        <v>0.643</v>
      </c>
      <c r="D43" s="7">
        <v>14.9</v>
      </c>
      <c r="E43" s="4">
        <f>+7.3</f>
        <v>7.3</v>
      </c>
    </row>
    <row r="44">
      <c r="A44" s="8" t="s">
        <v>45</v>
      </c>
      <c r="B44" s="5" t="s">
        <v>69</v>
      </c>
      <c r="C44" s="9">
        <v>0.615</v>
      </c>
      <c r="D44" s="7">
        <v>4.2</v>
      </c>
      <c r="E44" s="7">
        <v>-1.0</v>
      </c>
    </row>
    <row r="45">
      <c r="A45" s="8" t="s">
        <v>140</v>
      </c>
      <c r="B45" s="5" t="s">
        <v>69</v>
      </c>
      <c r="C45" s="9">
        <v>0.615</v>
      </c>
      <c r="D45" s="7">
        <v>9.2</v>
      </c>
      <c r="E45" s="4">
        <f>+2.2</f>
        <v>2.2</v>
      </c>
    </row>
    <row r="46">
      <c r="A46" s="8" t="s">
        <v>92</v>
      </c>
      <c r="B46" s="5" t="s">
        <v>69</v>
      </c>
      <c r="C46" s="9">
        <v>0.615</v>
      </c>
      <c r="D46" s="7">
        <v>6.5</v>
      </c>
      <c r="E46" s="4">
        <f>+3.7</f>
        <v>3.7</v>
      </c>
    </row>
    <row r="47">
      <c r="A47" s="8" t="s">
        <v>64</v>
      </c>
      <c r="B47" s="5" t="s">
        <v>69</v>
      </c>
      <c r="C47" s="9">
        <v>0.615</v>
      </c>
      <c r="D47" s="7">
        <v>7.5</v>
      </c>
      <c r="E47" s="7">
        <v>-4.3</v>
      </c>
    </row>
    <row r="48">
      <c r="A48" s="8" t="s">
        <v>136</v>
      </c>
      <c r="B48" s="5" t="s">
        <v>69</v>
      </c>
      <c r="C48" s="9">
        <v>0.615</v>
      </c>
      <c r="D48" s="7">
        <v>12.1</v>
      </c>
      <c r="E48" s="7">
        <v>-2.2</v>
      </c>
    </row>
    <row r="49">
      <c r="A49" s="8" t="s">
        <v>158</v>
      </c>
      <c r="B49" s="5" t="s">
        <v>69</v>
      </c>
      <c r="C49" s="9">
        <v>0.615</v>
      </c>
      <c r="D49" s="7">
        <v>1.1</v>
      </c>
      <c r="E49" s="4">
        <f>+2.9</f>
        <v>2.9</v>
      </c>
    </row>
    <row r="50">
      <c r="A50" s="8" t="s">
        <v>47</v>
      </c>
      <c r="B50" s="5" t="s">
        <v>73</v>
      </c>
      <c r="C50" s="9">
        <v>0.583</v>
      </c>
      <c r="D50" s="7">
        <v>10.2</v>
      </c>
      <c r="E50" s="4">
        <f>+4</f>
        <v>4</v>
      </c>
    </row>
    <row r="51">
      <c r="A51" s="8" t="s">
        <v>59</v>
      </c>
      <c r="B51" s="5" t="s">
        <v>73</v>
      </c>
      <c r="C51" s="9">
        <v>0.583</v>
      </c>
      <c r="D51" s="7">
        <v>3.4</v>
      </c>
      <c r="E51" s="4">
        <f>+4.7</f>
        <v>4.7</v>
      </c>
    </row>
    <row r="52">
      <c r="A52" s="8" t="s">
        <v>25</v>
      </c>
      <c r="B52" s="5" t="s">
        <v>73</v>
      </c>
      <c r="C52" s="9">
        <v>0.583</v>
      </c>
      <c r="D52" s="7">
        <v>5.7</v>
      </c>
      <c r="E52" s="4">
        <f>+0.3</f>
        <v>0.3</v>
      </c>
    </row>
    <row r="53">
      <c r="A53" s="8" t="s">
        <v>118</v>
      </c>
      <c r="B53" s="5" t="s">
        <v>88</v>
      </c>
      <c r="C53" s="9">
        <v>0.539</v>
      </c>
      <c r="D53" s="7">
        <v>0.2</v>
      </c>
      <c r="E53" s="7">
        <v>-0.8</v>
      </c>
    </row>
    <row r="54">
      <c r="A54" s="8" t="s">
        <v>48</v>
      </c>
      <c r="B54" s="5" t="s">
        <v>88</v>
      </c>
      <c r="C54" s="9">
        <v>0.539</v>
      </c>
      <c r="D54" s="7">
        <v>11.6</v>
      </c>
      <c r="E54" s="4">
        <f>+0.1</f>
        <v>0.1</v>
      </c>
    </row>
    <row r="55">
      <c r="A55" s="8" t="s">
        <v>87</v>
      </c>
      <c r="B55" s="5" t="s">
        <v>88</v>
      </c>
      <c r="C55" s="9">
        <v>0.539</v>
      </c>
      <c r="D55" s="7">
        <v>5.8</v>
      </c>
      <c r="E55" s="4">
        <f>+2.7</f>
        <v>2.7</v>
      </c>
    </row>
    <row r="56">
      <c r="A56" s="8" t="s">
        <v>105</v>
      </c>
      <c r="B56" s="5" t="s">
        <v>88</v>
      </c>
      <c r="C56" s="9">
        <v>0.539</v>
      </c>
      <c r="D56" s="7">
        <v>9.2</v>
      </c>
      <c r="E56" s="7">
        <v>-0.8</v>
      </c>
    </row>
    <row r="57">
      <c r="A57" s="8" t="s">
        <v>122</v>
      </c>
      <c r="B57" s="5" t="s">
        <v>88</v>
      </c>
      <c r="C57" s="9">
        <v>0.539</v>
      </c>
      <c r="D57" s="7">
        <v>-0.2</v>
      </c>
      <c r="E57" s="7">
        <v>-2.5</v>
      </c>
    </row>
    <row r="58">
      <c r="A58" s="8" t="s">
        <v>148</v>
      </c>
      <c r="B58" s="5" t="s">
        <v>88</v>
      </c>
      <c r="C58" s="9">
        <v>0.539</v>
      </c>
      <c r="D58" s="7">
        <v>-0.2</v>
      </c>
      <c r="E58" s="4">
        <f>+2.9</f>
        <v>2.9</v>
      </c>
    </row>
    <row r="59">
      <c r="A59" s="8" t="s">
        <v>123</v>
      </c>
      <c r="B59" s="5" t="s">
        <v>88</v>
      </c>
      <c r="C59" s="9">
        <v>0.539</v>
      </c>
      <c r="D59" s="7">
        <v>-1.4</v>
      </c>
      <c r="E59" s="4">
        <f>+3</f>
        <v>3</v>
      </c>
    </row>
    <row r="60">
      <c r="A60" s="8" t="s">
        <v>54</v>
      </c>
      <c r="B60" s="5" t="s">
        <v>88</v>
      </c>
      <c r="C60" s="9">
        <v>0.539</v>
      </c>
      <c r="D60" s="7">
        <v>10.2</v>
      </c>
      <c r="E60" s="4">
        <f>+3.6</f>
        <v>3.6</v>
      </c>
    </row>
    <row r="61">
      <c r="A61" s="8" t="s">
        <v>111</v>
      </c>
      <c r="B61" s="5" t="s">
        <v>88</v>
      </c>
      <c r="C61" s="9">
        <v>0.539</v>
      </c>
      <c r="D61" s="7">
        <v>3.2</v>
      </c>
      <c r="E61" s="7">
        <v>-1.7</v>
      </c>
    </row>
    <row r="62">
      <c r="A62" s="8" t="s">
        <v>91</v>
      </c>
      <c r="B62" s="5" t="s">
        <v>88</v>
      </c>
      <c r="C62" s="9">
        <v>0.539</v>
      </c>
      <c r="D62" s="7">
        <v>7.7</v>
      </c>
      <c r="E62" s="4">
        <f>+0.9</f>
        <v>0.9</v>
      </c>
    </row>
    <row r="63">
      <c r="A63" s="8" t="s">
        <v>57</v>
      </c>
      <c r="B63" s="5" t="s">
        <v>88</v>
      </c>
      <c r="C63" s="9">
        <v>0.539</v>
      </c>
      <c r="D63" s="7">
        <v>10.8</v>
      </c>
      <c r="E63" s="7">
        <v>-1.3</v>
      </c>
    </row>
    <row r="64">
      <c r="A64" s="8" t="s">
        <v>10</v>
      </c>
      <c r="B64" s="5" t="s">
        <v>88</v>
      </c>
      <c r="C64" s="9">
        <v>0.539</v>
      </c>
      <c r="D64" s="7">
        <v>0.2</v>
      </c>
      <c r="E64" s="4">
        <f>+1.5</f>
        <v>1.5</v>
      </c>
    </row>
    <row r="65">
      <c r="A65" s="8" t="s">
        <v>144</v>
      </c>
      <c r="B65" s="5" t="s">
        <v>88</v>
      </c>
      <c r="C65" s="9">
        <v>0.539</v>
      </c>
      <c r="D65" s="7">
        <v>4.2</v>
      </c>
      <c r="E65" s="4">
        <f>+7.8</f>
        <v>7.8</v>
      </c>
    </row>
    <row r="66">
      <c r="A66" s="8" t="s">
        <v>130</v>
      </c>
      <c r="B66" s="5" t="s">
        <v>88</v>
      </c>
      <c r="C66" s="9">
        <v>0.539</v>
      </c>
      <c r="D66" s="7">
        <v>1.7</v>
      </c>
      <c r="E66" s="7">
        <v>-3.5</v>
      </c>
    </row>
    <row r="67">
      <c r="A67" s="8" t="s">
        <v>96</v>
      </c>
      <c r="B67" s="5" t="s">
        <v>88</v>
      </c>
      <c r="C67" s="9">
        <v>0.539</v>
      </c>
      <c r="D67" s="7">
        <v>3.6</v>
      </c>
      <c r="E67" s="4">
        <f>+3.3</f>
        <v>3.3</v>
      </c>
    </row>
    <row r="68">
      <c r="A68" s="8" t="s">
        <v>153</v>
      </c>
      <c r="B68" s="5" t="s">
        <v>88</v>
      </c>
      <c r="C68" s="9">
        <v>0.539</v>
      </c>
      <c r="D68" s="7">
        <v>5.5</v>
      </c>
      <c r="E68" s="4">
        <f>+1.8</f>
        <v>1.8</v>
      </c>
    </row>
    <row r="69">
      <c r="A69" s="8" t="s">
        <v>133</v>
      </c>
      <c r="B69" s="5" t="s">
        <v>88</v>
      </c>
      <c r="C69" s="9">
        <v>0.539</v>
      </c>
      <c r="D69" s="7">
        <v>-1.4</v>
      </c>
      <c r="E69" s="7">
        <v>-1.7</v>
      </c>
    </row>
    <row r="70">
      <c r="A70" s="8" t="s">
        <v>107</v>
      </c>
      <c r="B70" s="5" t="s">
        <v>347</v>
      </c>
      <c r="C70" s="9">
        <v>0.5</v>
      </c>
      <c r="D70" s="7">
        <v>-3.3</v>
      </c>
      <c r="E70" s="7">
        <v>-2.6</v>
      </c>
    </row>
    <row r="71">
      <c r="A71" s="8" t="s">
        <v>61</v>
      </c>
      <c r="B71" s="5" t="s">
        <v>90</v>
      </c>
      <c r="C71" s="9">
        <v>0.5</v>
      </c>
      <c r="D71" s="7">
        <v>0.8</v>
      </c>
      <c r="E71" s="7">
        <v>-2.7</v>
      </c>
    </row>
    <row r="72">
      <c r="A72" s="8" t="s">
        <v>31</v>
      </c>
      <c r="B72" s="5" t="s">
        <v>90</v>
      </c>
      <c r="C72" s="9">
        <v>0.5</v>
      </c>
      <c r="D72" s="7">
        <v>2.8</v>
      </c>
      <c r="E72" s="4">
        <f>+0.1</f>
        <v>0.1</v>
      </c>
    </row>
    <row r="73">
      <c r="A73" s="8" t="s">
        <v>154</v>
      </c>
      <c r="B73" s="5" t="s">
        <v>90</v>
      </c>
      <c r="C73" s="9">
        <v>0.5</v>
      </c>
      <c r="D73" s="7">
        <v>2.5</v>
      </c>
      <c r="E73" s="7">
        <v>-3.2</v>
      </c>
    </row>
    <row r="74">
      <c r="A74" s="8" t="s">
        <v>71</v>
      </c>
      <c r="B74" s="5" t="s">
        <v>350</v>
      </c>
      <c r="C74" s="9">
        <v>0.5</v>
      </c>
      <c r="D74" s="7">
        <v>-14.0</v>
      </c>
      <c r="E74" s="4">
        <f>+8.3</f>
        <v>8.3</v>
      </c>
    </row>
    <row r="75">
      <c r="A75" s="8" t="s">
        <v>120</v>
      </c>
      <c r="B75" s="5" t="s">
        <v>261</v>
      </c>
      <c r="C75" s="9">
        <v>0.462</v>
      </c>
      <c r="D75" s="7">
        <v>-4.3</v>
      </c>
      <c r="E75" s="7">
        <v>-4.2</v>
      </c>
    </row>
    <row r="76">
      <c r="A76" s="8" t="s">
        <v>52</v>
      </c>
      <c r="B76" s="5" t="s">
        <v>261</v>
      </c>
      <c r="C76" s="9">
        <v>0.462</v>
      </c>
      <c r="D76" s="7">
        <v>-2.6</v>
      </c>
      <c r="E76" s="7">
        <v>-0.7</v>
      </c>
    </row>
    <row r="77">
      <c r="A77" s="8" t="s">
        <v>124</v>
      </c>
      <c r="B77" s="5" t="s">
        <v>261</v>
      </c>
      <c r="C77" s="9">
        <v>0.462</v>
      </c>
      <c r="D77" s="7">
        <v>3.9</v>
      </c>
      <c r="E77" s="7">
        <v>-9.9</v>
      </c>
    </row>
    <row r="78">
      <c r="A78" s="8" t="s">
        <v>75</v>
      </c>
      <c r="B78" s="5" t="s">
        <v>261</v>
      </c>
      <c r="C78" s="9">
        <v>0.462</v>
      </c>
      <c r="D78" s="7">
        <v>-0.1</v>
      </c>
      <c r="E78" s="7">
        <v>-1.7</v>
      </c>
    </row>
    <row r="79">
      <c r="A79" s="8" t="s">
        <v>110</v>
      </c>
      <c r="B79" s="5" t="s">
        <v>261</v>
      </c>
      <c r="C79" s="9">
        <v>0.462</v>
      </c>
      <c r="D79" s="7">
        <v>6.5</v>
      </c>
      <c r="E79" s="4">
        <f>+0.5</f>
        <v>0.5</v>
      </c>
    </row>
    <row r="80">
      <c r="A80" s="8" t="s">
        <v>58</v>
      </c>
      <c r="B80" s="5" t="s">
        <v>261</v>
      </c>
      <c r="C80" s="9">
        <v>0.462</v>
      </c>
      <c r="D80" s="7">
        <v>-4.8</v>
      </c>
      <c r="E80" s="7">
        <v>-4.6</v>
      </c>
    </row>
    <row r="81">
      <c r="A81" s="8" t="s">
        <v>62</v>
      </c>
      <c r="B81" s="5" t="s">
        <v>261</v>
      </c>
      <c r="C81" s="9">
        <v>0.462</v>
      </c>
      <c r="D81" s="7">
        <v>4.3</v>
      </c>
      <c r="E81" s="4">
        <f>+2.2</f>
        <v>2.2</v>
      </c>
    </row>
    <row r="82">
      <c r="A82" s="8" t="s">
        <v>18</v>
      </c>
      <c r="B82" s="5" t="s">
        <v>261</v>
      </c>
      <c r="C82" s="9">
        <v>0.462</v>
      </c>
      <c r="D82" s="7">
        <v>0.0</v>
      </c>
      <c r="E82" s="4">
        <f>+5.4</f>
        <v>5.4</v>
      </c>
    </row>
    <row r="83">
      <c r="A83" s="8" t="s">
        <v>132</v>
      </c>
      <c r="B83" s="5" t="s">
        <v>261</v>
      </c>
      <c r="C83" s="9">
        <v>0.462</v>
      </c>
      <c r="D83" s="7">
        <v>3.2</v>
      </c>
      <c r="E83" s="7">
        <v>-7.2</v>
      </c>
    </row>
    <row r="84">
      <c r="A84" s="8" t="s">
        <v>146</v>
      </c>
      <c r="B84" s="5" t="s">
        <v>261</v>
      </c>
      <c r="C84" s="9">
        <v>0.462</v>
      </c>
      <c r="D84" s="7">
        <v>-1.6</v>
      </c>
      <c r="E84" s="7">
        <v>-4.2</v>
      </c>
    </row>
    <row r="85">
      <c r="A85" s="8" t="s">
        <v>134</v>
      </c>
      <c r="B85" s="5" t="s">
        <v>261</v>
      </c>
      <c r="C85" s="9">
        <v>0.462</v>
      </c>
      <c r="D85" s="7">
        <v>1.4</v>
      </c>
      <c r="E85" s="7">
        <v>-1.2</v>
      </c>
    </row>
    <row r="86">
      <c r="A86" s="8" t="s">
        <v>44</v>
      </c>
      <c r="B86" s="5" t="s">
        <v>261</v>
      </c>
      <c r="C86" s="9">
        <v>0.462</v>
      </c>
      <c r="D86" s="7">
        <v>-0.2</v>
      </c>
      <c r="E86" s="4">
        <f>+7.7</f>
        <v>7.7</v>
      </c>
    </row>
    <row r="87">
      <c r="A87" s="8" t="s">
        <v>141</v>
      </c>
      <c r="B87" s="5" t="s">
        <v>103</v>
      </c>
      <c r="C87" s="9">
        <v>0.417</v>
      </c>
      <c r="D87" s="7">
        <v>-6.5</v>
      </c>
      <c r="E87" s="7">
        <v>-8.7</v>
      </c>
    </row>
    <row r="88">
      <c r="A88" s="8" t="s">
        <v>55</v>
      </c>
      <c r="B88" s="5" t="s">
        <v>103</v>
      </c>
      <c r="C88" s="9">
        <v>0.417</v>
      </c>
      <c r="D88" s="7">
        <v>-1.8</v>
      </c>
      <c r="E88" s="4">
        <f>+4.8</f>
        <v>4.8</v>
      </c>
    </row>
    <row r="89">
      <c r="A89" s="8" t="s">
        <v>35</v>
      </c>
      <c r="B89" s="5" t="s">
        <v>103</v>
      </c>
      <c r="C89" s="9">
        <v>0.417</v>
      </c>
      <c r="D89" s="7">
        <v>4.2</v>
      </c>
      <c r="E89" s="7">
        <v>-2.1</v>
      </c>
    </row>
    <row r="90">
      <c r="A90" s="8" t="s">
        <v>60</v>
      </c>
      <c r="B90" s="5" t="s">
        <v>103</v>
      </c>
      <c r="C90" s="9">
        <v>0.417</v>
      </c>
      <c r="D90" s="7">
        <v>-6.3</v>
      </c>
      <c r="E90" s="7">
        <v>-9.2</v>
      </c>
    </row>
    <row r="91">
      <c r="A91" s="8" t="s">
        <v>68</v>
      </c>
      <c r="B91" s="5" t="s">
        <v>103</v>
      </c>
      <c r="C91" s="9">
        <v>0.417</v>
      </c>
      <c r="D91" s="7">
        <v>-3.3</v>
      </c>
      <c r="E91" s="7">
        <v>-5.5</v>
      </c>
    </row>
    <row r="92">
      <c r="A92" s="8" t="s">
        <v>80</v>
      </c>
      <c r="B92" s="5" t="s">
        <v>103</v>
      </c>
      <c r="C92" s="9">
        <v>0.417</v>
      </c>
      <c r="D92" s="7">
        <v>1.5</v>
      </c>
      <c r="E92" s="4">
        <f>+0.3</f>
        <v>0.3</v>
      </c>
    </row>
    <row r="93">
      <c r="A93" s="8" t="s">
        <v>114</v>
      </c>
      <c r="B93" s="5" t="s">
        <v>103</v>
      </c>
      <c r="C93" s="9">
        <v>0.417</v>
      </c>
      <c r="D93" s="7">
        <v>1.1</v>
      </c>
      <c r="E93" s="7">
        <v>-0.5</v>
      </c>
    </row>
    <row r="94">
      <c r="A94" s="8" t="s">
        <v>147</v>
      </c>
      <c r="B94" s="5" t="s">
        <v>103</v>
      </c>
      <c r="C94" s="9">
        <v>0.417</v>
      </c>
      <c r="D94" s="7">
        <v>-1.4</v>
      </c>
      <c r="E94" s="4">
        <f>+1.5</f>
        <v>1.5</v>
      </c>
    </row>
    <row r="95">
      <c r="A95" s="8" t="s">
        <v>135</v>
      </c>
      <c r="B95" s="5" t="s">
        <v>103</v>
      </c>
      <c r="C95" s="9">
        <v>0.417</v>
      </c>
      <c r="D95" s="7">
        <v>-0.3</v>
      </c>
      <c r="E95" s="7">
        <v>-3.0</v>
      </c>
    </row>
    <row r="96">
      <c r="A96" s="8" t="s">
        <v>137</v>
      </c>
      <c r="B96" s="5" t="s">
        <v>103</v>
      </c>
      <c r="C96" s="9">
        <v>0.417</v>
      </c>
      <c r="D96" s="7">
        <v>-1.5</v>
      </c>
      <c r="E96" s="7">
        <v>-0.5</v>
      </c>
    </row>
    <row r="97">
      <c r="A97" s="8" t="s">
        <v>159</v>
      </c>
      <c r="B97" s="5" t="s">
        <v>103</v>
      </c>
      <c r="C97" s="9">
        <v>0.417</v>
      </c>
      <c r="D97" s="7">
        <v>-6.8</v>
      </c>
      <c r="E97" s="7">
        <v>-3.4</v>
      </c>
    </row>
    <row r="98">
      <c r="A98" s="8" t="s">
        <v>116</v>
      </c>
      <c r="B98" s="5" t="s">
        <v>296</v>
      </c>
      <c r="C98" s="9">
        <v>0.385</v>
      </c>
      <c r="D98" s="7">
        <v>-5.9</v>
      </c>
      <c r="E98" s="7">
        <v>-2.3</v>
      </c>
    </row>
    <row r="99">
      <c r="A99" s="8" t="s">
        <v>121</v>
      </c>
      <c r="B99" s="5" t="s">
        <v>119</v>
      </c>
      <c r="C99" s="9">
        <v>0.333</v>
      </c>
      <c r="D99" s="7">
        <v>-9.3</v>
      </c>
      <c r="E99" s="4">
        <f>+3</f>
        <v>3</v>
      </c>
    </row>
    <row r="100">
      <c r="A100" s="8" t="s">
        <v>104</v>
      </c>
      <c r="B100" s="5" t="s">
        <v>119</v>
      </c>
      <c r="C100" s="9">
        <v>0.333</v>
      </c>
      <c r="D100" s="7">
        <v>-0.7</v>
      </c>
      <c r="E100" s="7">
        <v>-3.5</v>
      </c>
    </row>
    <row r="101">
      <c r="A101" s="8" t="s">
        <v>108</v>
      </c>
      <c r="B101" s="5" t="s">
        <v>119</v>
      </c>
      <c r="C101" s="9">
        <v>0.333</v>
      </c>
      <c r="D101" s="7">
        <v>-14.7</v>
      </c>
      <c r="E101" s="7">
        <v>-7.0</v>
      </c>
    </row>
    <row r="102">
      <c r="A102" s="8" t="s">
        <v>26</v>
      </c>
      <c r="B102" s="5" t="s">
        <v>119</v>
      </c>
      <c r="C102" s="9">
        <v>0.333</v>
      </c>
      <c r="D102" s="7">
        <v>-8.2</v>
      </c>
      <c r="E102" s="4">
        <f>+2.4</f>
        <v>2.4</v>
      </c>
    </row>
    <row r="103">
      <c r="A103" s="8" t="s">
        <v>142</v>
      </c>
      <c r="B103" s="5" t="s">
        <v>119</v>
      </c>
      <c r="C103" s="9">
        <v>0.333</v>
      </c>
      <c r="D103" s="7">
        <v>-7.9</v>
      </c>
      <c r="E103" s="7">
        <v>-0.7</v>
      </c>
    </row>
    <row r="104">
      <c r="A104" s="8" t="s">
        <v>143</v>
      </c>
      <c r="B104" s="5" t="s">
        <v>119</v>
      </c>
      <c r="C104" s="9">
        <v>0.333</v>
      </c>
      <c r="D104" s="7">
        <v>-12.6</v>
      </c>
      <c r="E104" s="4">
        <f>+5.8</f>
        <v>5.8</v>
      </c>
    </row>
    <row r="105">
      <c r="A105" s="8" t="s">
        <v>63</v>
      </c>
      <c r="B105" s="5" t="s">
        <v>119</v>
      </c>
      <c r="C105" s="9">
        <v>0.333</v>
      </c>
      <c r="D105" s="7">
        <v>-1.2</v>
      </c>
      <c r="E105" s="7">
        <v>-5.0</v>
      </c>
    </row>
    <row r="106">
      <c r="A106" s="8" t="s">
        <v>41</v>
      </c>
      <c r="B106" s="5" t="s">
        <v>119</v>
      </c>
      <c r="C106" s="9">
        <v>0.333</v>
      </c>
      <c r="D106" s="7">
        <v>-3.1</v>
      </c>
      <c r="E106" s="7">
        <v>-7.0</v>
      </c>
    </row>
    <row r="107">
      <c r="A107" s="8" t="s">
        <v>98</v>
      </c>
      <c r="B107" s="5" t="s">
        <v>119</v>
      </c>
      <c r="C107" s="9">
        <v>0.333</v>
      </c>
      <c r="D107" s="7">
        <v>-9.9</v>
      </c>
      <c r="E107" s="7">
        <v>-3.6</v>
      </c>
    </row>
    <row r="108">
      <c r="A108" s="8" t="s">
        <v>50</v>
      </c>
      <c r="B108" s="5" t="s">
        <v>139</v>
      </c>
      <c r="C108" s="9">
        <v>0.25</v>
      </c>
      <c r="D108" s="7">
        <v>-7.8</v>
      </c>
      <c r="E108" s="7">
        <v>-5.8</v>
      </c>
    </row>
    <row r="109">
      <c r="A109" s="8" t="s">
        <v>74</v>
      </c>
      <c r="B109" s="5" t="s">
        <v>139</v>
      </c>
      <c r="C109" s="9">
        <v>0.25</v>
      </c>
      <c r="D109" s="7">
        <v>-6.0</v>
      </c>
      <c r="E109" s="7">
        <v>-5.0</v>
      </c>
    </row>
    <row r="110">
      <c r="A110" s="8" t="s">
        <v>89</v>
      </c>
      <c r="B110" s="5" t="s">
        <v>139</v>
      </c>
      <c r="C110" s="9">
        <v>0.25</v>
      </c>
      <c r="D110" s="7">
        <v>-12.4</v>
      </c>
      <c r="E110" s="7">
        <v>-8.1</v>
      </c>
    </row>
    <row r="111">
      <c r="A111" s="8" t="s">
        <v>77</v>
      </c>
      <c r="B111" s="5" t="s">
        <v>139</v>
      </c>
      <c r="C111" s="9">
        <v>0.25</v>
      </c>
      <c r="D111" s="7">
        <v>5.3</v>
      </c>
      <c r="E111" s="4">
        <f>+2.5</f>
        <v>2.5</v>
      </c>
    </row>
    <row r="112">
      <c r="A112" s="8" t="s">
        <v>79</v>
      </c>
      <c r="B112" s="5" t="s">
        <v>139</v>
      </c>
      <c r="C112" s="9">
        <v>0.25</v>
      </c>
      <c r="D112" s="7">
        <v>-10.3</v>
      </c>
      <c r="E112" s="7">
        <v>-1.5</v>
      </c>
    </row>
    <row r="113">
      <c r="A113" s="8" t="s">
        <v>38</v>
      </c>
      <c r="B113" s="5" t="s">
        <v>139</v>
      </c>
      <c r="C113" s="9">
        <v>0.25</v>
      </c>
      <c r="D113" s="7">
        <v>-16.3</v>
      </c>
      <c r="E113" s="7">
        <v>-6.8</v>
      </c>
    </row>
    <row r="114">
      <c r="A114" s="8" t="s">
        <v>152</v>
      </c>
      <c r="B114" s="5" t="s">
        <v>139</v>
      </c>
      <c r="C114" s="9">
        <v>0.25</v>
      </c>
      <c r="D114" s="7">
        <v>-4.6</v>
      </c>
      <c r="E114" s="7">
        <v>-3.5</v>
      </c>
    </row>
    <row r="115">
      <c r="A115" s="8" t="s">
        <v>131</v>
      </c>
      <c r="B115" s="5" t="s">
        <v>139</v>
      </c>
      <c r="C115" s="9">
        <v>0.25</v>
      </c>
      <c r="D115" s="7">
        <v>-12.0</v>
      </c>
      <c r="E115" s="7">
        <v>-5.5</v>
      </c>
    </row>
    <row r="116">
      <c r="A116" s="8" t="s">
        <v>70</v>
      </c>
      <c r="B116" s="5" t="s">
        <v>139</v>
      </c>
      <c r="C116" s="9">
        <v>0.25</v>
      </c>
      <c r="D116" s="7">
        <v>-16.9</v>
      </c>
      <c r="E116" s="7">
        <v>-9.9</v>
      </c>
    </row>
    <row r="117">
      <c r="A117" s="8" t="s">
        <v>42</v>
      </c>
      <c r="B117" s="5" t="s">
        <v>139</v>
      </c>
      <c r="C117" s="9">
        <v>0.25</v>
      </c>
      <c r="D117" s="7">
        <v>-9.5</v>
      </c>
      <c r="E117" s="7">
        <v>-3.6</v>
      </c>
    </row>
    <row r="118">
      <c r="A118" s="8" t="s">
        <v>115</v>
      </c>
      <c r="B118" s="5" t="s">
        <v>139</v>
      </c>
      <c r="C118" s="9">
        <v>0.25</v>
      </c>
      <c r="D118" s="7">
        <v>-21.2</v>
      </c>
      <c r="E118" s="7">
        <v>-11.4</v>
      </c>
    </row>
    <row r="119">
      <c r="A119" s="8" t="s">
        <v>99</v>
      </c>
      <c r="B119" s="5" t="s">
        <v>139</v>
      </c>
      <c r="C119" s="9">
        <v>0.25</v>
      </c>
      <c r="D119" s="7">
        <v>-11.2</v>
      </c>
      <c r="E119" s="7">
        <v>-3.5</v>
      </c>
    </row>
    <row r="120">
      <c r="A120" s="8" t="s">
        <v>102</v>
      </c>
      <c r="B120" s="5" t="s">
        <v>149</v>
      </c>
      <c r="C120" s="9">
        <v>0.167</v>
      </c>
      <c r="D120" s="7">
        <v>-19.7</v>
      </c>
      <c r="E120" s="7">
        <v>-0.9</v>
      </c>
    </row>
    <row r="121">
      <c r="A121" s="8" t="s">
        <v>22</v>
      </c>
      <c r="B121" s="5" t="s">
        <v>149</v>
      </c>
      <c r="C121" s="9">
        <v>0.167</v>
      </c>
      <c r="D121" s="7">
        <v>-20.1</v>
      </c>
      <c r="E121" s="7">
        <v>-3.0</v>
      </c>
    </row>
    <row r="122">
      <c r="A122" s="8" t="s">
        <v>5</v>
      </c>
      <c r="B122" s="5" t="s">
        <v>149</v>
      </c>
      <c r="C122" s="9">
        <v>0.167</v>
      </c>
      <c r="D122" s="7">
        <v>-16.0</v>
      </c>
      <c r="E122" s="7">
        <v>-12.1</v>
      </c>
    </row>
    <row r="123">
      <c r="A123" s="8" t="s">
        <v>112</v>
      </c>
      <c r="B123" s="5" t="s">
        <v>149</v>
      </c>
      <c r="C123" s="9">
        <v>0.167</v>
      </c>
      <c r="D123" s="7">
        <v>-21.4</v>
      </c>
      <c r="E123" s="4">
        <f>+0.3</f>
        <v>0.3</v>
      </c>
    </row>
    <row r="124">
      <c r="A124" s="8" t="s">
        <v>37</v>
      </c>
      <c r="B124" s="5" t="s">
        <v>149</v>
      </c>
      <c r="C124" s="9">
        <v>0.167</v>
      </c>
      <c r="D124" s="7">
        <v>-11.5</v>
      </c>
      <c r="E124" s="4">
        <f>+0.8</f>
        <v>0.8</v>
      </c>
    </row>
    <row r="125">
      <c r="A125" s="8" t="s">
        <v>16</v>
      </c>
      <c r="B125" s="5" t="s">
        <v>149</v>
      </c>
      <c r="C125" s="9">
        <v>0.167</v>
      </c>
      <c r="D125" s="7">
        <v>-6.4</v>
      </c>
      <c r="E125" s="7">
        <v>-1.7</v>
      </c>
    </row>
    <row r="126">
      <c r="A126" s="8" t="s">
        <v>128</v>
      </c>
      <c r="B126" s="5" t="s">
        <v>149</v>
      </c>
      <c r="C126" s="9">
        <v>0.167</v>
      </c>
      <c r="D126" s="7">
        <v>-17.8</v>
      </c>
      <c r="E126" s="4">
        <f>+2.4</f>
        <v>2.4</v>
      </c>
    </row>
    <row r="127">
      <c r="A127" s="8" t="s">
        <v>95</v>
      </c>
      <c r="B127" s="5" t="s">
        <v>149</v>
      </c>
      <c r="C127" s="9">
        <v>0.167</v>
      </c>
      <c r="D127" s="7">
        <v>-13.3</v>
      </c>
      <c r="E127" s="7">
        <v>-4.2</v>
      </c>
    </row>
    <row r="128">
      <c r="A128" s="8" t="s">
        <v>30</v>
      </c>
      <c r="B128" s="5" t="s">
        <v>149</v>
      </c>
      <c r="C128" s="9">
        <v>0.167</v>
      </c>
      <c r="D128" s="7">
        <v>-12.1</v>
      </c>
      <c r="E128" s="4">
        <f>+3.5</f>
        <v>3.5</v>
      </c>
    </row>
    <row r="129">
      <c r="A129" s="8" t="s">
        <v>40</v>
      </c>
      <c r="B129" s="5" t="s">
        <v>157</v>
      </c>
      <c r="C129" s="9">
        <v>0.083</v>
      </c>
      <c r="D129" s="7">
        <v>-14.3</v>
      </c>
      <c r="E129" s="7">
        <v>-2.4</v>
      </c>
    </row>
    <row r="130">
      <c r="A130" s="8" t="s">
        <v>43</v>
      </c>
      <c r="B130" s="5" t="s">
        <v>157</v>
      </c>
      <c r="C130" s="9">
        <v>0.083</v>
      </c>
      <c r="D130" s="7">
        <v>-22.9</v>
      </c>
      <c r="E130" s="7">
        <v>-1.5</v>
      </c>
    </row>
    <row r="131">
      <c r="A131" s="8" t="s">
        <v>160</v>
      </c>
      <c r="B131" s="5" t="s">
        <v>157</v>
      </c>
      <c r="C131" s="9">
        <v>0.083</v>
      </c>
      <c r="D131" s="7">
        <v>-26.8</v>
      </c>
      <c r="E131" s="7">
        <v>-3.2</v>
      </c>
    </row>
    <row r="132">
      <c r="A132" s="8" t="s">
        <v>83</v>
      </c>
      <c r="B132" s="5" t="s">
        <v>157</v>
      </c>
      <c r="C132" s="9">
        <v>0.083</v>
      </c>
      <c r="D132" s="7">
        <v>-19.3</v>
      </c>
      <c r="E132" s="7">
        <v>-12.2</v>
      </c>
    </row>
    <row r="133">
      <c r="A133" s="8" t="s">
        <v>97</v>
      </c>
      <c r="B133" s="5" t="s">
        <v>338</v>
      </c>
      <c r="C133" s="9">
        <v>0.0</v>
      </c>
      <c r="D133" s="7">
        <v>-32.0</v>
      </c>
      <c r="E133" s="7">
        <v>-12.0</v>
      </c>
    </row>
    <row r="134">
      <c r="A134" s="8" t="s">
        <v>84</v>
      </c>
      <c r="B134" s="5" t="s">
        <v>338</v>
      </c>
      <c r="C134" s="9">
        <v>0.0</v>
      </c>
      <c r="D134" s="7">
        <v>-7.0</v>
      </c>
      <c r="E134" s="4">
        <f>+26.5</f>
        <v>26.5</v>
      </c>
    </row>
    <row r="135">
      <c r="A135" s="8" t="s">
        <v>32</v>
      </c>
      <c r="B135" s="5" t="s">
        <v>338</v>
      </c>
      <c r="C135" s="9">
        <v>0.0</v>
      </c>
      <c r="D135" s="7">
        <v>-28.0</v>
      </c>
      <c r="E135" s="7">
        <v>-8.0</v>
      </c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</hyperlinks>
  <drawing r:id="rId13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28</v>
      </c>
      <c r="B2" s="5" t="s">
        <v>6</v>
      </c>
      <c r="C2" s="9">
        <v>1.0</v>
      </c>
      <c r="D2" s="7">
        <v>29.1</v>
      </c>
      <c r="E2" s="4">
        <f>+7.2</f>
        <v>7.2</v>
      </c>
    </row>
    <row r="3">
      <c r="A3" s="8" t="s">
        <v>19</v>
      </c>
      <c r="B3" s="5" t="s">
        <v>13</v>
      </c>
      <c r="C3" s="9">
        <v>0.917</v>
      </c>
      <c r="D3" s="7">
        <v>28.2</v>
      </c>
      <c r="E3" s="4">
        <f>+9.4</f>
        <v>9.4</v>
      </c>
    </row>
    <row r="4">
      <c r="A4" s="8" t="s">
        <v>100</v>
      </c>
      <c r="B4" s="5" t="s">
        <v>13</v>
      </c>
      <c r="C4" s="9">
        <v>0.917</v>
      </c>
      <c r="D4" s="7">
        <v>16.9</v>
      </c>
      <c r="E4" s="4">
        <f>+12</f>
        <v>12</v>
      </c>
    </row>
    <row r="5">
      <c r="A5" s="8" t="s">
        <v>93</v>
      </c>
      <c r="B5" s="5" t="s">
        <v>351</v>
      </c>
      <c r="C5" s="9">
        <v>0.909</v>
      </c>
      <c r="D5" s="7">
        <v>11.6</v>
      </c>
      <c r="E5" s="4">
        <f>+1.4</f>
        <v>1.4</v>
      </c>
    </row>
    <row r="6">
      <c r="A6" s="8" t="s">
        <v>136</v>
      </c>
      <c r="B6" s="5" t="s">
        <v>351</v>
      </c>
      <c r="C6" s="9">
        <v>0.909</v>
      </c>
      <c r="D6" s="7">
        <v>17.6</v>
      </c>
      <c r="E6" s="4">
        <f>+8.6</f>
        <v>8.6</v>
      </c>
    </row>
    <row r="7">
      <c r="A7" s="8" t="s">
        <v>14</v>
      </c>
      <c r="B7" s="5" t="s">
        <v>352</v>
      </c>
      <c r="C7" s="9">
        <v>0.9</v>
      </c>
      <c r="D7" s="7">
        <v>10.9</v>
      </c>
      <c r="E7" s="4">
        <f>+3</f>
        <v>3</v>
      </c>
    </row>
    <row r="8">
      <c r="A8" s="8" t="s">
        <v>78</v>
      </c>
      <c r="B8" s="5" t="s">
        <v>352</v>
      </c>
      <c r="C8" s="9">
        <v>0.9</v>
      </c>
      <c r="D8" s="7">
        <v>20.7</v>
      </c>
      <c r="E8" s="4">
        <f>+7.8</f>
        <v>7.8</v>
      </c>
    </row>
    <row r="9">
      <c r="A9" s="8" t="s">
        <v>120</v>
      </c>
      <c r="B9" s="5" t="s">
        <v>353</v>
      </c>
      <c r="C9" s="9">
        <v>0.875</v>
      </c>
      <c r="D9" s="7">
        <v>8.5</v>
      </c>
      <c r="E9" s="4">
        <f>+9.3</f>
        <v>9.3</v>
      </c>
    </row>
    <row r="10">
      <c r="A10" s="8" t="s">
        <v>141</v>
      </c>
      <c r="B10" s="5" t="s">
        <v>353</v>
      </c>
      <c r="C10" s="9">
        <v>0.875</v>
      </c>
      <c r="D10" s="7">
        <v>8.8</v>
      </c>
      <c r="E10" s="4">
        <f>+6.9</f>
        <v>6.9</v>
      </c>
    </row>
    <row r="11">
      <c r="A11" s="8" t="s">
        <v>9</v>
      </c>
      <c r="B11" s="5" t="s">
        <v>353</v>
      </c>
      <c r="C11" s="9">
        <v>0.875</v>
      </c>
      <c r="D11" s="7">
        <v>15.3</v>
      </c>
      <c r="E11" s="4">
        <f>+0.4</f>
        <v>0.4</v>
      </c>
    </row>
    <row r="12">
      <c r="A12" s="8" t="s">
        <v>104</v>
      </c>
      <c r="B12" s="5" t="s">
        <v>354</v>
      </c>
      <c r="C12" s="9">
        <v>0.857</v>
      </c>
      <c r="D12" s="7">
        <v>21.6</v>
      </c>
      <c r="E12" s="4">
        <f>+5.6</f>
        <v>5.6</v>
      </c>
    </row>
    <row r="13">
      <c r="A13" s="8" t="s">
        <v>20</v>
      </c>
      <c r="B13" s="5" t="s">
        <v>21</v>
      </c>
      <c r="C13" s="9">
        <v>0.833</v>
      </c>
      <c r="D13" s="7">
        <v>13.8</v>
      </c>
      <c r="E13" s="4">
        <f>+2.9</f>
        <v>2.9</v>
      </c>
    </row>
    <row r="14">
      <c r="A14" s="8" t="s">
        <v>41</v>
      </c>
      <c r="B14" s="5" t="s">
        <v>355</v>
      </c>
      <c r="C14" s="9">
        <v>0.833</v>
      </c>
      <c r="D14" s="7">
        <v>7.3</v>
      </c>
      <c r="E14" s="4">
        <f>+0.2</f>
        <v>0.2</v>
      </c>
    </row>
    <row r="15">
      <c r="A15" s="8" t="s">
        <v>81</v>
      </c>
      <c r="B15" s="5" t="s">
        <v>21</v>
      </c>
      <c r="C15" s="9">
        <v>0.833</v>
      </c>
      <c r="D15" s="7">
        <v>23.3</v>
      </c>
      <c r="E15" s="7">
        <v>-1.3</v>
      </c>
    </row>
    <row r="16">
      <c r="A16" s="8" t="s">
        <v>23</v>
      </c>
      <c r="B16" s="5" t="s">
        <v>27</v>
      </c>
      <c r="C16" s="9">
        <v>0.818</v>
      </c>
      <c r="D16" s="7">
        <v>21.3</v>
      </c>
      <c r="E16" s="4">
        <f>+4.1</f>
        <v>4.1</v>
      </c>
    </row>
    <row r="17">
      <c r="A17" s="8" t="s">
        <v>7</v>
      </c>
      <c r="B17" s="5" t="s">
        <v>356</v>
      </c>
      <c r="C17" s="9">
        <v>0.8</v>
      </c>
      <c r="D17" s="7">
        <v>12.3</v>
      </c>
      <c r="E17" s="7">
        <v>-0.9</v>
      </c>
    </row>
    <row r="18">
      <c r="A18" s="8" t="s">
        <v>140</v>
      </c>
      <c r="B18" s="5" t="s">
        <v>357</v>
      </c>
      <c r="C18" s="9">
        <v>0.778</v>
      </c>
      <c r="D18" s="7">
        <v>7.4</v>
      </c>
      <c r="E18" s="4">
        <f>+0.9</f>
        <v>0.9</v>
      </c>
    </row>
    <row r="19">
      <c r="A19" s="8" t="s">
        <v>89</v>
      </c>
      <c r="B19" s="5" t="s">
        <v>357</v>
      </c>
      <c r="C19" s="9">
        <v>0.778</v>
      </c>
      <c r="D19" s="7">
        <v>8.8</v>
      </c>
      <c r="E19" s="4">
        <f>+5.6</f>
        <v>5.6</v>
      </c>
    </row>
    <row r="20">
      <c r="A20" s="8" t="s">
        <v>107</v>
      </c>
      <c r="B20" s="5" t="s">
        <v>358</v>
      </c>
      <c r="C20" s="9">
        <v>0.75</v>
      </c>
      <c r="D20" s="7">
        <v>11.8</v>
      </c>
      <c r="E20" s="4">
        <f>+1</f>
        <v>1</v>
      </c>
    </row>
    <row r="21">
      <c r="A21" s="8" t="s">
        <v>5</v>
      </c>
      <c r="B21" s="5" t="s">
        <v>359</v>
      </c>
      <c r="C21" s="9">
        <v>0.75</v>
      </c>
      <c r="D21" s="7">
        <v>8.6</v>
      </c>
      <c r="E21" s="4">
        <f>+9.4</f>
        <v>9.4</v>
      </c>
    </row>
    <row r="22">
      <c r="A22" s="8" t="s">
        <v>56</v>
      </c>
      <c r="B22" s="5" t="s">
        <v>359</v>
      </c>
      <c r="C22" s="9">
        <v>0.75</v>
      </c>
      <c r="D22" s="7">
        <v>15.8</v>
      </c>
      <c r="E22" s="4">
        <f>+11.3</f>
        <v>11.3</v>
      </c>
    </row>
    <row r="23">
      <c r="A23" s="8" t="s">
        <v>57</v>
      </c>
      <c r="B23" s="5" t="s">
        <v>34</v>
      </c>
      <c r="C23" s="9">
        <v>0.75</v>
      </c>
      <c r="D23" s="7">
        <v>11.5</v>
      </c>
      <c r="E23" s="4">
        <f>+4.9</f>
        <v>4.9</v>
      </c>
    </row>
    <row r="24">
      <c r="A24" s="8" t="s">
        <v>85</v>
      </c>
      <c r="B24" s="5" t="s">
        <v>34</v>
      </c>
      <c r="C24" s="9">
        <v>0.75</v>
      </c>
      <c r="D24" s="7">
        <v>11.9</v>
      </c>
      <c r="E24" s="4">
        <f>+2.6</f>
        <v>2.6</v>
      </c>
    </row>
    <row r="25">
      <c r="A25" s="8" t="s">
        <v>63</v>
      </c>
      <c r="B25" s="5" t="s">
        <v>358</v>
      </c>
      <c r="C25" s="9">
        <v>0.75</v>
      </c>
      <c r="D25" s="7">
        <v>5.3</v>
      </c>
      <c r="E25" s="7">
        <v>-6.4</v>
      </c>
    </row>
    <row r="26">
      <c r="A26" s="8" t="s">
        <v>117</v>
      </c>
      <c r="B26" s="5" t="s">
        <v>34</v>
      </c>
      <c r="C26" s="9">
        <v>0.75</v>
      </c>
      <c r="D26" s="7">
        <v>13.8</v>
      </c>
      <c r="E26" s="7">
        <v>-1.2</v>
      </c>
    </row>
    <row r="27">
      <c r="A27" s="8" t="s">
        <v>156</v>
      </c>
      <c r="B27" s="5" t="s">
        <v>346</v>
      </c>
      <c r="C27" s="9">
        <v>0.727</v>
      </c>
      <c r="D27" s="7">
        <v>6.7</v>
      </c>
      <c r="E27" s="7">
        <v>-1.0</v>
      </c>
    </row>
    <row r="28">
      <c r="A28" s="8" t="s">
        <v>61</v>
      </c>
      <c r="B28" s="5" t="s">
        <v>346</v>
      </c>
      <c r="C28" s="9">
        <v>0.727</v>
      </c>
      <c r="D28" s="7">
        <v>3.1</v>
      </c>
      <c r="E28" s="7">
        <v>-4.3</v>
      </c>
    </row>
    <row r="29">
      <c r="A29" s="8" t="s">
        <v>25</v>
      </c>
      <c r="B29" s="5" t="s">
        <v>346</v>
      </c>
      <c r="C29" s="9">
        <v>0.727</v>
      </c>
      <c r="D29" s="7">
        <v>7.0</v>
      </c>
      <c r="E29" s="4">
        <f>+0.9</f>
        <v>0.9</v>
      </c>
    </row>
    <row r="30">
      <c r="A30" s="8" t="s">
        <v>47</v>
      </c>
      <c r="B30" s="5" t="s">
        <v>360</v>
      </c>
      <c r="C30" s="9">
        <v>0.714</v>
      </c>
      <c r="D30" s="7">
        <v>6.7</v>
      </c>
      <c r="E30" s="7">
        <v>-3.0</v>
      </c>
    </row>
    <row r="31">
      <c r="A31" s="8" t="s">
        <v>105</v>
      </c>
      <c r="B31" s="5" t="s">
        <v>361</v>
      </c>
      <c r="C31" s="9">
        <v>0.7</v>
      </c>
      <c r="D31" s="7">
        <v>15.5</v>
      </c>
      <c r="E31" s="4">
        <f>+0.8</f>
        <v>0.8</v>
      </c>
    </row>
    <row r="32">
      <c r="A32" s="8" t="s">
        <v>51</v>
      </c>
      <c r="B32" s="5" t="s">
        <v>361</v>
      </c>
      <c r="C32" s="9">
        <v>0.7</v>
      </c>
      <c r="D32" s="7">
        <v>7.7</v>
      </c>
      <c r="E32" s="7">
        <v>-5.3</v>
      </c>
    </row>
    <row r="33">
      <c r="A33" s="8" t="s">
        <v>35</v>
      </c>
      <c r="B33" s="5" t="s">
        <v>361</v>
      </c>
      <c r="C33" s="9">
        <v>0.7</v>
      </c>
      <c r="D33" s="7">
        <v>14.2</v>
      </c>
      <c r="E33" s="4">
        <f>+4.7</f>
        <v>4.7</v>
      </c>
    </row>
    <row r="34">
      <c r="A34" s="8" t="s">
        <v>45</v>
      </c>
      <c r="B34" s="5" t="s">
        <v>362</v>
      </c>
      <c r="C34" s="9">
        <v>0.667</v>
      </c>
      <c r="D34" s="7">
        <v>7.5</v>
      </c>
      <c r="E34" s="7">
        <v>-1.9</v>
      </c>
    </row>
    <row r="35">
      <c r="A35" s="8" t="s">
        <v>48</v>
      </c>
      <c r="B35" s="5" t="s">
        <v>362</v>
      </c>
      <c r="C35" s="9">
        <v>0.667</v>
      </c>
      <c r="D35" s="7">
        <v>10.7</v>
      </c>
      <c r="E35" s="4">
        <f>+0.8</f>
        <v>0.8</v>
      </c>
    </row>
    <row r="36">
      <c r="A36" s="8" t="s">
        <v>87</v>
      </c>
      <c r="B36" s="5" t="s">
        <v>363</v>
      </c>
      <c r="C36" s="9">
        <v>0.667</v>
      </c>
      <c r="D36" s="7">
        <v>2.0</v>
      </c>
      <c r="E36" s="4">
        <f t="shared" ref="E36:E37" si="1">+0.2</f>
        <v>0.2</v>
      </c>
    </row>
    <row r="37">
      <c r="A37" s="8" t="s">
        <v>50</v>
      </c>
      <c r="B37" s="5" t="s">
        <v>363</v>
      </c>
      <c r="C37" s="9">
        <v>0.667</v>
      </c>
      <c r="D37" s="7">
        <v>17.7</v>
      </c>
      <c r="E37" s="4">
        <f t="shared" si="1"/>
        <v>0.2</v>
      </c>
    </row>
    <row r="38">
      <c r="A38" s="8" t="s">
        <v>122</v>
      </c>
      <c r="B38" s="5" t="s">
        <v>364</v>
      </c>
      <c r="C38" s="9">
        <v>0.667</v>
      </c>
      <c r="D38" s="7">
        <v>5.6</v>
      </c>
      <c r="E38" s="4">
        <f>+7.3</f>
        <v>7.3</v>
      </c>
    </row>
    <row r="39">
      <c r="A39" s="8" t="s">
        <v>124</v>
      </c>
      <c r="B39" s="5" t="s">
        <v>49</v>
      </c>
      <c r="C39" s="9">
        <v>0.667</v>
      </c>
      <c r="D39" s="7">
        <v>9.0</v>
      </c>
      <c r="E39" s="7">
        <v>-2.3</v>
      </c>
    </row>
    <row r="40">
      <c r="A40" s="8" t="s">
        <v>142</v>
      </c>
      <c r="B40" s="5" t="s">
        <v>362</v>
      </c>
      <c r="C40" s="9">
        <v>0.667</v>
      </c>
      <c r="D40" s="7">
        <v>-3.2</v>
      </c>
      <c r="E40" s="7">
        <v>-1.3</v>
      </c>
    </row>
    <row r="41">
      <c r="A41" s="8" t="s">
        <v>127</v>
      </c>
      <c r="B41" s="5" t="s">
        <v>364</v>
      </c>
      <c r="C41" s="9">
        <v>0.667</v>
      </c>
      <c r="D41" s="7">
        <v>7.0</v>
      </c>
      <c r="E41" s="4">
        <f>+0.3</f>
        <v>0.3</v>
      </c>
    </row>
    <row r="42">
      <c r="A42" s="8" t="s">
        <v>131</v>
      </c>
      <c r="B42" s="5" t="s">
        <v>362</v>
      </c>
      <c r="C42" s="9">
        <v>0.667</v>
      </c>
      <c r="D42" s="7">
        <v>-2.3</v>
      </c>
      <c r="E42" s="4">
        <f>+0.6</f>
        <v>0.6</v>
      </c>
    </row>
    <row r="43">
      <c r="A43" s="8" t="s">
        <v>82</v>
      </c>
      <c r="B43" s="5" t="s">
        <v>49</v>
      </c>
      <c r="C43" s="9">
        <v>0.667</v>
      </c>
      <c r="D43" s="7">
        <v>1.1</v>
      </c>
      <c r="E43" s="4">
        <f>+2.3</f>
        <v>2.3</v>
      </c>
    </row>
    <row r="44">
      <c r="A44" s="8" t="s">
        <v>132</v>
      </c>
      <c r="B44" s="5" t="s">
        <v>49</v>
      </c>
      <c r="C44" s="9">
        <v>0.667</v>
      </c>
      <c r="D44" s="7">
        <v>12.3</v>
      </c>
      <c r="E44" s="4">
        <f>+0.9</f>
        <v>0.9</v>
      </c>
    </row>
    <row r="45">
      <c r="A45" s="8" t="s">
        <v>99</v>
      </c>
      <c r="B45" s="5" t="s">
        <v>69</v>
      </c>
      <c r="C45" s="9">
        <v>0.615</v>
      </c>
      <c r="D45" s="7">
        <v>6.5</v>
      </c>
      <c r="E45" s="4">
        <f>+1.3</f>
        <v>1.3</v>
      </c>
    </row>
    <row r="46">
      <c r="A46" s="8" t="s">
        <v>106</v>
      </c>
      <c r="B46" s="5" t="s">
        <v>365</v>
      </c>
      <c r="C46" s="9">
        <v>0.6</v>
      </c>
      <c r="D46" s="7">
        <v>9.0</v>
      </c>
      <c r="E46" s="7">
        <v>-3.8</v>
      </c>
    </row>
    <row r="47">
      <c r="A47" s="8" t="s">
        <v>60</v>
      </c>
      <c r="B47" s="5" t="s">
        <v>365</v>
      </c>
      <c r="C47" s="9">
        <v>0.6</v>
      </c>
      <c r="D47" s="7">
        <v>6.6</v>
      </c>
      <c r="E47" s="4">
        <f>+2.6</f>
        <v>2.6</v>
      </c>
    </row>
    <row r="48">
      <c r="A48" s="8" t="s">
        <v>24</v>
      </c>
      <c r="B48" s="5" t="s">
        <v>366</v>
      </c>
      <c r="C48" s="9">
        <v>0.6</v>
      </c>
      <c r="D48" s="7">
        <v>4.2</v>
      </c>
      <c r="E48" s="4">
        <f>+0.2</f>
        <v>0.2</v>
      </c>
    </row>
    <row r="49">
      <c r="A49" s="8" t="s">
        <v>134</v>
      </c>
      <c r="B49" s="5" t="s">
        <v>365</v>
      </c>
      <c r="C49" s="9">
        <v>0.6</v>
      </c>
      <c r="D49" s="7">
        <v>6.0</v>
      </c>
      <c r="E49" s="7">
        <v>-0.3</v>
      </c>
    </row>
    <row r="50">
      <c r="A50" s="8" t="s">
        <v>158</v>
      </c>
      <c r="B50" s="5" t="s">
        <v>365</v>
      </c>
      <c r="C50" s="9">
        <v>0.6</v>
      </c>
      <c r="D50" s="7">
        <v>1.6</v>
      </c>
      <c r="E50" s="4">
        <f>+3.6</f>
        <v>3.6</v>
      </c>
    </row>
    <row r="51">
      <c r="A51" s="8" t="s">
        <v>101</v>
      </c>
      <c r="B51" s="5" t="s">
        <v>73</v>
      </c>
      <c r="C51" s="9">
        <v>0.583</v>
      </c>
      <c r="D51" s="7">
        <v>2.6</v>
      </c>
      <c r="E51" s="4">
        <f>+6.8</f>
        <v>6.8</v>
      </c>
    </row>
    <row r="52">
      <c r="A52" s="8" t="s">
        <v>125</v>
      </c>
      <c r="B52" s="5" t="s">
        <v>367</v>
      </c>
      <c r="C52" s="9">
        <v>0.571</v>
      </c>
      <c r="D52" s="7">
        <v>7.7</v>
      </c>
      <c r="E52" s="7">
        <v>-2.1</v>
      </c>
    </row>
    <row r="53">
      <c r="A53" s="8" t="s">
        <v>15</v>
      </c>
      <c r="B53" s="5" t="s">
        <v>367</v>
      </c>
      <c r="C53" s="9">
        <v>0.571</v>
      </c>
      <c r="D53" s="7">
        <v>3.0</v>
      </c>
      <c r="E53" s="7">
        <v>-4.6</v>
      </c>
    </row>
    <row r="54">
      <c r="A54" s="8" t="s">
        <v>52</v>
      </c>
      <c r="B54" s="5" t="s">
        <v>368</v>
      </c>
      <c r="C54" s="9">
        <v>0.556</v>
      </c>
      <c r="D54" s="7">
        <v>-1.3</v>
      </c>
      <c r="E54" s="7">
        <v>-0.6</v>
      </c>
    </row>
    <row r="55">
      <c r="A55" s="8" t="s">
        <v>135</v>
      </c>
      <c r="B55" s="5" t="s">
        <v>368</v>
      </c>
      <c r="C55" s="9">
        <v>0.556</v>
      </c>
      <c r="D55" s="7">
        <v>1.4</v>
      </c>
      <c r="E55" s="7">
        <v>-3.3</v>
      </c>
    </row>
    <row r="56">
      <c r="A56" s="8" t="s">
        <v>110</v>
      </c>
      <c r="B56" s="5" t="s">
        <v>86</v>
      </c>
      <c r="C56" s="9">
        <v>0.546</v>
      </c>
      <c r="D56" s="7">
        <v>0.4</v>
      </c>
      <c r="E56" s="4">
        <f>+0.2</f>
        <v>0.2</v>
      </c>
    </row>
    <row r="57">
      <c r="A57" s="8" t="s">
        <v>66</v>
      </c>
      <c r="B57" s="5" t="s">
        <v>86</v>
      </c>
      <c r="C57" s="9">
        <v>0.546</v>
      </c>
      <c r="D57" s="7">
        <v>4.5</v>
      </c>
      <c r="E57" s="4">
        <f>+2</f>
        <v>2</v>
      </c>
    </row>
    <row r="58">
      <c r="A58" s="8" t="s">
        <v>154</v>
      </c>
      <c r="B58" s="5" t="s">
        <v>86</v>
      </c>
      <c r="C58" s="9">
        <v>0.546</v>
      </c>
      <c r="D58" s="7">
        <v>-0.5</v>
      </c>
      <c r="E58" s="4">
        <f>+3.3</f>
        <v>3.3</v>
      </c>
    </row>
    <row r="59">
      <c r="A59" s="8" t="s">
        <v>72</v>
      </c>
      <c r="B59" s="5" t="s">
        <v>369</v>
      </c>
      <c r="C59" s="9">
        <v>0.5</v>
      </c>
      <c r="D59" s="7">
        <v>1.2</v>
      </c>
      <c r="E59" s="4">
        <f>+1.8</f>
        <v>1.8</v>
      </c>
    </row>
    <row r="60">
      <c r="A60" s="8" t="s">
        <v>74</v>
      </c>
      <c r="B60" s="5" t="s">
        <v>370</v>
      </c>
      <c r="C60" s="9">
        <v>0.5</v>
      </c>
      <c r="D60" s="7">
        <v>-8.0</v>
      </c>
      <c r="E60" s="7">
        <v>-3.4</v>
      </c>
    </row>
    <row r="61">
      <c r="A61" s="8" t="s">
        <v>53</v>
      </c>
      <c r="B61" s="5" t="s">
        <v>369</v>
      </c>
      <c r="C61" s="9">
        <v>0.5</v>
      </c>
      <c r="D61" s="7">
        <v>2.8</v>
      </c>
      <c r="E61" s="7">
        <v>-2.3</v>
      </c>
    </row>
    <row r="62">
      <c r="A62" s="8" t="s">
        <v>75</v>
      </c>
      <c r="B62" s="5" t="s">
        <v>370</v>
      </c>
      <c r="C62" s="9">
        <v>0.5</v>
      </c>
      <c r="D62" s="7">
        <v>-2.9</v>
      </c>
      <c r="E62" s="7">
        <v>-1.5</v>
      </c>
    </row>
    <row r="63">
      <c r="A63" s="8" t="s">
        <v>12</v>
      </c>
      <c r="B63" s="5" t="s">
        <v>370</v>
      </c>
      <c r="C63" s="9">
        <v>0.5</v>
      </c>
      <c r="D63" s="7">
        <v>0.9</v>
      </c>
      <c r="E63" s="4">
        <f>+2.6</f>
        <v>2.6</v>
      </c>
    </row>
    <row r="64">
      <c r="A64" s="8" t="s">
        <v>58</v>
      </c>
      <c r="B64" s="5" t="s">
        <v>370</v>
      </c>
      <c r="C64" s="9">
        <v>0.5</v>
      </c>
      <c r="D64" s="7">
        <v>-5.6</v>
      </c>
      <c r="E64" s="4">
        <f>+0.5</f>
        <v>0.5</v>
      </c>
    </row>
    <row r="65">
      <c r="A65" s="8" t="s">
        <v>16</v>
      </c>
      <c r="B65" s="5" t="s">
        <v>90</v>
      </c>
      <c r="C65" s="9">
        <v>0.5</v>
      </c>
      <c r="D65" s="7">
        <v>6.6</v>
      </c>
      <c r="E65" s="4">
        <f>+6.6</f>
        <v>6.6</v>
      </c>
    </row>
    <row r="66">
      <c r="A66" s="8" t="s">
        <v>129</v>
      </c>
      <c r="B66" s="5" t="s">
        <v>369</v>
      </c>
      <c r="C66" s="9">
        <v>0.5</v>
      </c>
      <c r="D66" s="7">
        <v>9.3</v>
      </c>
      <c r="E66" s="4">
        <f>+7.3</f>
        <v>7.3</v>
      </c>
    </row>
    <row r="67">
      <c r="A67" s="8" t="s">
        <v>39</v>
      </c>
      <c r="B67" s="5" t="s">
        <v>371</v>
      </c>
      <c r="C67" s="9">
        <v>0.5</v>
      </c>
      <c r="D67" s="7">
        <v>6.9</v>
      </c>
      <c r="E67" s="4">
        <f>+3.2</f>
        <v>3.2</v>
      </c>
    </row>
    <row r="68">
      <c r="A68" s="8" t="s">
        <v>64</v>
      </c>
      <c r="B68" s="5" t="s">
        <v>372</v>
      </c>
      <c r="C68" s="9">
        <v>0.5</v>
      </c>
      <c r="D68" s="7">
        <v>17.0</v>
      </c>
      <c r="E68" s="4">
        <f>+15.4</f>
        <v>15.4</v>
      </c>
    </row>
    <row r="69">
      <c r="A69" s="8" t="s">
        <v>31</v>
      </c>
      <c r="B69" s="5" t="s">
        <v>370</v>
      </c>
      <c r="C69" s="9">
        <v>0.5</v>
      </c>
      <c r="D69" s="7">
        <v>1.1</v>
      </c>
      <c r="E69" s="4">
        <f>+0.5</f>
        <v>0.5</v>
      </c>
    </row>
    <row r="70">
      <c r="A70" s="8" t="s">
        <v>71</v>
      </c>
      <c r="B70" s="5" t="s">
        <v>350</v>
      </c>
      <c r="C70" s="9">
        <v>0.5</v>
      </c>
      <c r="D70" s="7">
        <v>-4.0</v>
      </c>
      <c r="E70" s="4">
        <f>+14</f>
        <v>14</v>
      </c>
    </row>
    <row r="71">
      <c r="A71" s="8" t="s">
        <v>109</v>
      </c>
      <c r="B71" s="5" t="s">
        <v>274</v>
      </c>
      <c r="C71" s="9">
        <v>0.455</v>
      </c>
      <c r="D71" s="7">
        <v>-4.1</v>
      </c>
      <c r="E71" s="7">
        <v>-0.4</v>
      </c>
    </row>
    <row r="72">
      <c r="A72" s="8" t="s">
        <v>68</v>
      </c>
      <c r="B72" s="5" t="s">
        <v>274</v>
      </c>
      <c r="C72" s="9">
        <v>0.455</v>
      </c>
      <c r="D72" s="7">
        <v>1.6</v>
      </c>
      <c r="E72" s="4">
        <f>+0.2</f>
        <v>0.2</v>
      </c>
    </row>
    <row r="73">
      <c r="A73" s="8" t="s">
        <v>146</v>
      </c>
      <c r="B73" s="5" t="s">
        <v>274</v>
      </c>
      <c r="C73" s="9">
        <v>0.455</v>
      </c>
      <c r="D73" s="7">
        <v>-1.0</v>
      </c>
      <c r="E73" s="7">
        <v>-5.4</v>
      </c>
    </row>
    <row r="74">
      <c r="A74" s="8" t="s">
        <v>91</v>
      </c>
      <c r="B74" s="5" t="s">
        <v>373</v>
      </c>
      <c r="C74" s="9">
        <v>0.444</v>
      </c>
      <c r="D74" s="7">
        <v>2.1</v>
      </c>
      <c r="E74" s="7">
        <v>-5.8</v>
      </c>
    </row>
    <row r="75">
      <c r="A75" s="8" t="s">
        <v>65</v>
      </c>
      <c r="B75" s="5" t="s">
        <v>373</v>
      </c>
      <c r="C75" s="9">
        <v>0.444</v>
      </c>
      <c r="D75" s="7">
        <v>3.2</v>
      </c>
      <c r="E75" s="4">
        <f>+5.2</f>
        <v>5.2</v>
      </c>
    </row>
    <row r="76">
      <c r="A76" s="8" t="s">
        <v>76</v>
      </c>
      <c r="B76" s="5" t="s">
        <v>374</v>
      </c>
      <c r="C76" s="9">
        <v>0.429</v>
      </c>
      <c r="D76" s="7">
        <v>-2.9</v>
      </c>
      <c r="E76" s="7">
        <v>-2.6</v>
      </c>
    </row>
    <row r="77">
      <c r="A77" s="8" t="s">
        <v>145</v>
      </c>
      <c r="B77" s="5" t="s">
        <v>374</v>
      </c>
      <c r="C77" s="9">
        <v>0.429</v>
      </c>
      <c r="D77" s="7">
        <v>4.7</v>
      </c>
      <c r="E77" s="4">
        <f>+5.8</f>
        <v>5.8</v>
      </c>
    </row>
    <row r="78">
      <c r="A78" s="8" t="s">
        <v>67</v>
      </c>
      <c r="B78" s="5" t="s">
        <v>103</v>
      </c>
      <c r="C78" s="9">
        <v>0.417</v>
      </c>
      <c r="D78" s="7">
        <v>-6.3</v>
      </c>
      <c r="E78" s="7">
        <v>-4.2</v>
      </c>
    </row>
    <row r="79">
      <c r="A79" s="8" t="s">
        <v>108</v>
      </c>
      <c r="B79" s="5" t="s">
        <v>375</v>
      </c>
      <c r="C79" s="9">
        <v>0.4</v>
      </c>
      <c r="D79" s="7">
        <v>4.6</v>
      </c>
      <c r="E79" s="4">
        <f>+10.4</f>
        <v>10.4</v>
      </c>
    </row>
    <row r="80">
      <c r="A80" s="8" t="s">
        <v>92</v>
      </c>
      <c r="B80" s="5" t="s">
        <v>376</v>
      </c>
      <c r="C80" s="9">
        <v>0.4</v>
      </c>
      <c r="D80" s="7">
        <v>-5.6</v>
      </c>
      <c r="E80" s="7">
        <v>-0.6</v>
      </c>
    </row>
    <row r="81">
      <c r="A81" s="8" t="s">
        <v>10</v>
      </c>
      <c r="B81" s="5" t="s">
        <v>376</v>
      </c>
      <c r="C81" s="9">
        <v>0.4</v>
      </c>
      <c r="D81" s="7">
        <v>-7.6</v>
      </c>
      <c r="E81" s="7">
        <v>-7.3</v>
      </c>
    </row>
    <row r="82">
      <c r="A82" s="8" t="s">
        <v>18</v>
      </c>
      <c r="B82" s="5" t="s">
        <v>376</v>
      </c>
      <c r="C82" s="9">
        <v>0.4</v>
      </c>
      <c r="D82" s="7">
        <v>-8.4</v>
      </c>
      <c r="E82" s="7">
        <v>-7.6</v>
      </c>
    </row>
    <row r="83">
      <c r="A83" s="8" t="s">
        <v>133</v>
      </c>
      <c r="B83" s="5" t="s">
        <v>375</v>
      </c>
      <c r="C83" s="9">
        <v>0.4</v>
      </c>
      <c r="D83" s="7">
        <v>-8.4</v>
      </c>
      <c r="E83" s="4">
        <f>+4.9</f>
        <v>4.9</v>
      </c>
    </row>
    <row r="84">
      <c r="A84" s="8" t="s">
        <v>148</v>
      </c>
      <c r="B84" s="5" t="s">
        <v>377</v>
      </c>
      <c r="C84" s="9">
        <v>0.375</v>
      </c>
      <c r="D84" s="7">
        <v>-8.0</v>
      </c>
      <c r="E84" s="4">
        <f>+3.6</f>
        <v>3.6</v>
      </c>
    </row>
    <row r="85">
      <c r="A85" s="8" t="s">
        <v>77</v>
      </c>
      <c r="B85" s="5" t="s">
        <v>377</v>
      </c>
      <c r="C85" s="9">
        <v>0.375</v>
      </c>
      <c r="D85" s="7">
        <v>-6.3</v>
      </c>
      <c r="E85" s="7">
        <v>-4.3</v>
      </c>
    </row>
    <row r="86">
      <c r="A86" s="8" t="s">
        <v>36</v>
      </c>
      <c r="B86" s="5" t="s">
        <v>377</v>
      </c>
      <c r="C86" s="9">
        <v>0.375</v>
      </c>
      <c r="D86" s="7">
        <v>-2.0</v>
      </c>
      <c r="E86" s="7">
        <v>-5.9</v>
      </c>
    </row>
    <row r="87">
      <c r="A87" s="8" t="s">
        <v>111</v>
      </c>
      <c r="B87" s="5" t="s">
        <v>378</v>
      </c>
      <c r="C87" s="9">
        <v>0.364</v>
      </c>
      <c r="D87" s="7">
        <v>-6.7</v>
      </c>
      <c r="E87" s="7">
        <v>-1.5</v>
      </c>
    </row>
    <row r="88">
      <c r="A88" s="8" t="s">
        <v>62</v>
      </c>
      <c r="B88" s="5" t="s">
        <v>378</v>
      </c>
      <c r="C88" s="9">
        <v>0.364</v>
      </c>
      <c r="D88" s="7">
        <v>2.9</v>
      </c>
      <c r="E88" s="4">
        <f>+1.8</f>
        <v>1.8</v>
      </c>
    </row>
    <row r="89">
      <c r="A89" s="8" t="s">
        <v>95</v>
      </c>
      <c r="B89" s="5" t="s">
        <v>378</v>
      </c>
      <c r="C89" s="9">
        <v>0.364</v>
      </c>
      <c r="D89" s="7">
        <v>-4.3</v>
      </c>
      <c r="E89" s="7">
        <v>-4.2</v>
      </c>
    </row>
    <row r="90">
      <c r="A90" s="8" t="s">
        <v>137</v>
      </c>
      <c r="B90" s="5" t="s">
        <v>378</v>
      </c>
      <c r="C90" s="9">
        <v>0.364</v>
      </c>
      <c r="D90" s="7">
        <v>-7.4</v>
      </c>
      <c r="E90" s="7">
        <v>-1.7</v>
      </c>
    </row>
    <row r="91">
      <c r="A91" s="8" t="s">
        <v>118</v>
      </c>
      <c r="B91" s="5" t="s">
        <v>379</v>
      </c>
      <c r="C91" s="9">
        <v>0.333</v>
      </c>
      <c r="D91" s="7">
        <v>-2.8</v>
      </c>
      <c r="E91" s="4">
        <f>+2.8</f>
        <v>2.8</v>
      </c>
    </row>
    <row r="92">
      <c r="A92" s="8" t="s">
        <v>33</v>
      </c>
      <c r="B92" s="5" t="s">
        <v>379</v>
      </c>
      <c r="C92" s="9">
        <v>0.333</v>
      </c>
      <c r="D92" s="7">
        <v>-6.2</v>
      </c>
      <c r="E92" s="7">
        <v>-11.8</v>
      </c>
    </row>
    <row r="93">
      <c r="A93" s="8" t="s">
        <v>151</v>
      </c>
      <c r="B93" s="5" t="s">
        <v>379</v>
      </c>
      <c r="C93" s="9">
        <v>0.333</v>
      </c>
      <c r="D93" s="7">
        <v>-2.7</v>
      </c>
      <c r="E93" s="7">
        <v>-5.8</v>
      </c>
    </row>
    <row r="94">
      <c r="A94" s="8" t="s">
        <v>59</v>
      </c>
      <c r="B94" s="5" t="s">
        <v>380</v>
      </c>
      <c r="C94" s="9">
        <v>0.333</v>
      </c>
      <c r="D94" s="7">
        <v>-5.2</v>
      </c>
      <c r="E94" s="4">
        <f>+4.6</f>
        <v>4.6</v>
      </c>
    </row>
    <row r="95">
      <c r="A95" s="8" t="s">
        <v>144</v>
      </c>
      <c r="B95" s="5" t="s">
        <v>380</v>
      </c>
      <c r="C95" s="9">
        <v>0.333</v>
      </c>
      <c r="D95" s="7">
        <v>-12.6</v>
      </c>
      <c r="E95" s="7">
        <v>-5.9</v>
      </c>
    </row>
    <row r="96">
      <c r="A96" s="8" t="s">
        <v>130</v>
      </c>
      <c r="B96" s="5" t="s">
        <v>379</v>
      </c>
      <c r="C96" s="9">
        <v>0.333</v>
      </c>
      <c r="D96" s="7">
        <v>5.5</v>
      </c>
      <c r="E96" s="4">
        <f>+1.3</f>
        <v>1.3</v>
      </c>
    </row>
    <row r="97">
      <c r="A97" s="8" t="s">
        <v>114</v>
      </c>
      <c r="B97" s="5" t="s">
        <v>380</v>
      </c>
      <c r="C97" s="9">
        <v>0.333</v>
      </c>
      <c r="D97" s="7">
        <v>-10.2</v>
      </c>
      <c r="E97" s="7">
        <v>-7.8</v>
      </c>
    </row>
    <row r="98">
      <c r="A98" s="8" t="s">
        <v>116</v>
      </c>
      <c r="B98" s="5" t="s">
        <v>380</v>
      </c>
      <c r="C98" s="9">
        <v>0.333</v>
      </c>
      <c r="D98" s="7">
        <v>-5.4</v>
      </c>
      <c r="E98" s="4">
        <f>+5.6</f>
        <v>5.6</v>
      </c>
    </row>
    <row r="99">
      <c r="A99" s="8" t="s">
        <v>159</v>
      </c>
      <c r="B99" s="5" t="s">
        <v>379</v>
      </c>
      <c r="C99" s="9">
        <v>0.333</v>
      </c>
      <c r="D99" s="7">
        <v>-5.5</v>
      </c>
      <c r="E99" s="7">
        <v>-4.1</v>
      </c>
    </row>
    <row r="100">
      <c r="A100" s="8" t="s">
        <v>26</v>
      </c>
      <c r="B100" s="5" t="s">
        <v>348</v>
      </c>
      <c r="C100" s="9">
        <v>0.3</v>
      </c>
      <c r="D100" s="7">
        <v>-13.7</v>
      </c>
      <c r="E100" s="7">
        <v>-7.7</v>
      </c>
    </row>
    <row r="101">
      <c r="A101" s="8" t="s">
        <v>54</v>
      </c>
      <c r="B101" s="5" t="s">
        <v>348</v>
      </c>
      <c r="C101" s="9">
        <v>0.3</v>
      </c>
      <c r="D101" s="7">
        <v>-8.6</v>
      </c>
      <c r="E101" s="7">
        <v>-4.8</v>
      </c>
    </row>
    <row r="102">
      <c r="A102" s="8" t="s">
        <v>150</v>
      </c>
      <c r="B102" s="5" t="s">
        <v>348</v>
      </c>
      <c r="C102" s="9">
        <v>0.3</v>
      </c>
      <c r="D102" s="7">
        <v>-9.2</v>
      </c>
      <c r="E102" s="4">
        <f>+3.4</f>
        <v>3.4</v>
      </c>
    </row>
    <row r="103">
      <c r="A103" s="8" t="s">
        <v>79</v>
      </c>
      <c r="B103" s="5" t="s">
        <v>348</v>
      </c>
      <c r="C103" s="9">
        <v>0.3</v>
      </c>
      <c r="D103" s="7">
        <v>-7.0</v>
      </c>
      <c r="E103" s="7">
        <v>-6.0</v>
      </c>
    </row>
    <row r="104">
      <c r="A104" s="8" t="s">
        <v>42</v>
      </c>
      <c r="B104" s="5" t="s">
        <v>348</v>
      </c>
      <c r="C104" s="9">
        <v>0.3</v>
      </c>
      <c r="D104" s="7">
        <v>-12.9</v>
      </c>
      <c r="E104" s="7">
        <v>-4.2</v>
      </c>
    </row>
    <row r="105">
      <c r="A105" s="8" t="s">
        <v>126</v>
      </c>
      <c r="B105" s="5" t="s">
        <v>381</v>
      </c>
      <c r="C105" s="9">
        <v>0.286</v>
      </c>
      <c r="D105" s="7">
        <v>-17.1</v>
      </c>
      <c r="E105" s="7">
        <v>-6.4</v>
      </c>
    </row>
    <row r="106">
      <c r="A106" s="8" t="s">
        <v>38</v>
      </c>
      <c r="B106" s="5" t="s">
        <v>381</v>
      </c>
      <c r="C106" s="9">
        <v>0.286</v>
      </c>
      <c r="D106" s="7">
        <v>-8.7</v>
      </c>
      <c r="E106" s="4">
        <f>+2.4</f>
        <v>2.4</v>
      </c>
    </row>
    <row r="107">
      <c r="A107" s="8" t="s">
        <v>153</v>
      </c>
      <c r="B107" s="5" t="s">
        <v>381</v>
      </c>
      <c r="C107" s="9">
        <v>0.286</v>
      </c>
      <c r="D107" s="7">
        <v>-4.4</v>
      </c>
      <c r="E107" s="4">
        <f>+2.5</f>
        <v>2.5</v>
      </c>
    </row>
    <row r="108">
      <c r="A108" s="8" t="s">
        <v>55</v>
      </c>
      <c r="B108" s="5" t="s">
        <v>382</v>
      </c>
      <c r="C108" s="9">
        <v>0.25</v>
      </c>
      <c r="D108" s="7">
        <v>-14.8</v>
      </c>
      <c r="E108" s="7">
        <v>-1.9</v>
      </c>
    </row>
    <row r="109">
      <c r="A109" s="8" t="s">
        <v>152</v>
      </c>
      <c r="B109" s="5" t="s">
        <v>383</v>
      </c>
      <c r="C109" s="9">
        <v>0.25</v>
      </c>
      <c r="D109" s="7">
        <v>-13.5</v>
      </c>
      <c r="E109" s="7">
        <v>-8.0</v>
      </c>
    </row>
    <row r="110">
      <c r="A110" s="8" t="s">
        <v>80</v>
      </c>
      <c r="B110" s="5" t="s">
        <v>383</v>
      </c>
      <c r="C110" s="9">
        <v>0.25</v>
      </c>
      <c r="D110" s="7">
        <v>-6.3</v>
      </c>
      <c r="E110" s="7">
        <v>-5.1</v>
      </c>
    </row>
    <row r="111">
      <c r="A111" s="8" t="s">
        <v>96</v>
      </c>
      <c r="B111" s="5" t="s">
        <v>383</v>
      </c>
      <c r="C111" s="9">
        <v>0.25</v>
      </c>
      <c r="D111" s="7">
        <v>-11.5</v>
      </c>
      <c r="E111" s="7">
        <v>-2.5</v>
      </c>
    </row>
    <row r="112">
      <c r="A112" s="8" t="s">
        <v>113</v>
      </c>
      <c r="B112" s="5" t="s">
        <v>384</v>
      </c>
      <c r="C112" s="9">
        <v>0.222</v>
      </c>
      <c r="D112" s="7">
        <v>-5.9</v>
      </c>
      <c r="E112" s="7">
        <v>-2.1</v>
      </c>
    </row>
    <row r="113">
      <c r="A113" s="8" t="s">
        <v>123</v>
      </c>
      <c r="B113" s="5" t="s">
        <v>385</v>
      </c>
      <c r="C113" s="9">
        <v>0.2</v>
      </c>
      <c r="D113" s="7">
        <v>-12.5</v>
      </c>
      <c r="E113" s="7">
        <v>-5.3</v>
      </c>
    </row>
    <row r="114">
      <c r="A114" s="8" t="s">
        <v>70</v>
      </c>
      <c r="B114" s="5" t="s">
        <v>386</v>
      </c>
      <c r="C114" s="9">
        <v>0.182</v>
      </c>
      <c r="D114" s="7">
        <v>-13.3</v>
      </c>
      <c r="E114" s="7">
        <v>-8.7</v>
      </c>
    </row>
    <row r="115">
      <c r="A115" s="8" t="s">
        <v>102</v>
      </c>
      <c r="B115" s="5" t="s">
        <v>387</v>
      </c>
      <c r="C115" s="9">
        <v>0.167</v>
      </c>
      <c r="D115" s="7">
        <v>-24.2</v>
      </c>
      <c r="E115" s="7">
        <v>-4.6</v>
      </c>
    </row>
    <row r="116">
      <c r="A116" s="8" t="s">
        <v>94</v>
      </c>
      <c r="B116" s="5" t="s">
        <v>387</v>
      </c>
      <c r="C116" s="9">
        <v>0.167</v>
      </c>
      <c r="D116" s="7">
        <v>-19.7</v>
      </c>
      <c r="E116" s="7">
        <v>-7.5</v>
      </c>
    </row>
    <row r="117">
      <c r="A117" s="8" t="s">
        <v>98</v>
      </c>
      <c r="B117" s="5" t="s">
        <v>149</v>
      </c>
      <c r="C117" s="9">
        <v>0.167</v>
      </c>
      <c r="D117" s="7">
        <v>-10.5</v>
      </c>
      <c r="E117" s="4">
        <f>+1.9</f>
        <v>1.9</v>
      </c>
    </row>
    <row r="118">
      <c r="A118" s="8" t="s">
        <v>115</v>
      </c>
      <c r="B118" s="5" t="s">
        <v>388</v>
      </c>
      <c r="C118" s="9">
        <v>0.143</v>
      </c>
      <c r="D118" s="7">
        <v>-17.3</v>
      </c>
      <c r="E118" s="7">
        <v>-9.4</v>
      </c>
    </row>
    <row r="119">
      <c r="A119" s="8" t="s">
        <v>37</v>
      </c>
      <c r="B119" s="5" t="s">
        <v>389</v>
      </c>
      <c r="C119" s="9">
        <v>0.111</v>
      </c>
      <c r="D119" s="7">
        <v>-16.8</v>
      </c>
      <c r="E119" s="7">
        <v>-5.2</v>
      </c>
    </row>
    <row r="120">
      <c r="A120" s="8" t="s">
        <v>147</v>
      </c>
      <c r="B120" s="5" t="s">
        <v>390</v>
      </c>
      <c r="C120" s="9">
        <v>0.091</v>
      </c>
      <c r="D120" s="7">
        <v>-14.9</v>
      </c>
      <c r="E120" s="4">
        <f>+3.7</f>
        <v>3.7</v>
      </c>
    </row>
    <row r="121">
      <c r="A121" s="8" t="s">
        <v>138</v>
      </c>
      <c r="B121" s="5" t="s">
        <v>391</v>
      </c>
      <c r="C121" s="9">
        <v>0.0</v>
      </c>
      <c r="D121" s="7">
        <v>-13.8</v>
      </c>
      <c r="E121" s="7">
        <v>-2.3</v>
      </c>
    </row>
    <row r="122">
      <c r="A122" s="8" t="s">
        <v>121</v>
      </c>
      <c r="B122" s="5" t="s">
        <v>392</v>
      </c>
      <c r="C122" s="9">
        <v>0.0</v>
      </c>
      <c r="D122" s="7">
        <v>-33.6</v>
      </c>
      <c r="E122" s="7">
        <v>-13.3</v>
      </c>
    </row>
    <row r="123">
      <c r="A123" s="8" t="s">
        <v>22</v>
      </c>
      <c r="B123" s="5" t="s">
        <v>393</v>
      </c>
      <c r="C123" s="9">
        <v>0.0</v>
      </c>
      <c r="D123" s="7">
        <v>-22.6</v>
      </c>
      <c r="E123" s="7">
        <v>-2.7</v>
      </c>
    </row>
    <row r="124">
      <c r="A124" s="8" t="s">
        <v>112</v>
      </c>
      <c r="B124" s="5" t="s">
        <v>393</v>
      </c>
      <c r="C124" s="9">
        <v>0.0</v>
      </c>
      <c r="D124" s="7">
        <v>-30.2</v>
      </c>
      <c r="E124" s="7">
        <v>-9.4</v>
      </c>
    </row>
    <row r="125">
      <c r="A125" s="8" t="s">
        <v>143</v>
      </c>
      <c r="B125" s="5" t="s">
        <v>394</v>
      </c>
      <c r="C125" s="9">
        <v>0.0</v>
      </c>
      <c r="D125" s="7">
        <v>-25.7</v>
      </c>
      <c r="E125" s="7">
        <v>-9.4</v>
      </c>
    </row>
    <row r="126">
      <c r="A126" s="8" t="s">
        <v>30</v>
      </c>
      <c r="B126" s="5" t="s">
        <v>391</v>
      </c>
      <c r="C126" s="9">
        <v>0.0</v>
      </c>
      <c r="D126" s="7">
        <v>-20.7</v>
      </c>
      <c r="E126" s="7">
        <v>-5.4</v>
      </c>
    </row>
    <row r="127">
      <c r="A127" s="8" t="s">
        <v>40</v>
      </c>
      <c r="B127" s="5" t="s">
        <v>392</v>
      </c>
      <c r="C127" s="9">
        <v>0.0</v>
      </c>
      <c r="D127" s="7">
        <v>-22.4</v>
      </c>
      <c r="E127" s="7">
        <v>-12.1</v>
      </c>
    </row>
    <row r="128">
      <c r="A128" s="8" t="s">
        <v>160</v>
      </c>
      <c r="B128" s="5" t="s">
        <v>395</v>
      </c>
      <c r="C128" s="9">
        <v>0.0</v>
      </c>
      <c r="D128" s="7">
        <v>-37.3</v>
      </c>
      <c r="E128" s="7">
        <v>-1.5</v>
      </c>
    </row>
    <row r="129">
      <c r="A129" s="8" t="s">
        <v>83</v>
      </c>
      <c r="B129" s="5" t="s">
        <v>392</v>
      </c>
      <c r="C129" s="9">
        <v>0.0</v>
      </c>
      <c r="D129" s="7">
        <v>-10.0</v>
      </c>
      <c r="E129" s="7">
        <v>-8.0</v>
      </c>
    </row>
    <row r="130">
      <c r="A130" s="8" t="s">
        <v>84</v>
      </c>
      <c r="B130" s="5" t="s">
        <v>338</v>
      </c>
      <c r="C130" s="9">
        <v>0.0</v>
      </c>
      <c r="D130" s="7">
        <v>-48.0</v>
      </c>
      <c r="E130" s="7">
        <v>-1.5</v>
      </c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</hyperlinks>
  <drawing r:id="rId13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75</v>
      </c>
      <c r="B2" s="5" t="s">
        <v>341</v>
      </c>
      <c r="C2" s="9">
        <v>1.0</v>
      </c>
      <c r="D2" s="7">
        <v>26.5</v>
      </c>
      <c r="E2" s="4">
        <f>+7.9</f>
        <v>7.9</v>
      </c>
    </row>
    <row r="3">
      <c r="A3" s="8" t="s">
        <v>81</v>
      </c>
      <c r="B3" s="5" t="s">
        <v>342</v>
      </c>
      <c r="C3" s="9">
        <v>0.933</v>
      </c>
      <c r="D3" s="7">
        <v>30.4</v>
      </c>
      <c r="E3" s="4">
        <f>+3.2</f>
        <v>3.2</v>
      </c>
    </row>
    <row r="4">
      <c r="A4" s="8" t="s">
        <v>9</v>
      </c>
      <c r="B4" s="5" t="s">
        <v>162</v>
      </c>
      <c r="C4" s="9">
        <v>0.929</v>
      </c>
      <c r="D4" s="7">
        <v>33.1</v>
      </c>
      <c r="E4" s="4">
        <f>+10.8</f>
        <v>10.8</v>
      </c>
    </row>
    <row r="5">
      <c r="A5" s="8" t="s">
        <v>117</v>
      </c>
      <c r="B5" s="5" t="s">
        <v>162</v>
      </c>
      <c r="C5" s="9">
        <v>0.929</v>
      </c>
      <c r="D5" s="7">
        <v>18.8</v>
      </c>
      <c r="E5" s="4">
        <f>+5</f>
        <v>5</v>
      </c>
    </row>
    <row r="6">
      <c r="A6" s="8" t="s">
        <v>47</v>
      </c>
      <c r="B6" s="5" t="s">
        <v>170</v>
      </c>
      <c r="C6" s="9">
        <v>0.857</v>
      </c>
      <c r="D6" s="7">
        <v>12.9</v>
      </c>
      <c r="E6" s="7">
        <v>0.0</v>
      </c>
    </row>
    <row r="7">
      <c r="A7" s="8" t="s">
        <v>7</v>
      </c>
      <c r="B7" s="5" t="s">
        <v>170</v>
      </c>
      <c r="C7" s="9">
        <v>0.857</v>
      </c>
      <c r="D7" s="7">
        <v>18.2</v>
      </c>
      <c r="E7" s="4">
        <f>+0.1</f>
        <v>0.1</v>
      </c>
    </row>
    <row r="8">
      <c r="A8" s="8" t="s">
        <v>23</v>
      </c>
      <c r="B8" s="5" t="s">
        <v>170</v>
      </c>
      <c r="C8" s="9">
        <v>0.857</v>
      </c>
      <c r="D8" s="7">
        <v>14.9</v>
      </c>
      <c r="E8" s="7">
        <v>-4.6</v>
      </c>
    </row>
    <row r="9">
      <c r="A9" s="8" t="s">
        <v>61</v>
      </c>
      <c r="B9" s="5" t="s">
        <v>170</v>
      </c>
      <c r="C9" s="9">
        <v>0.857</v>
      </c>
      <c r="D9" s="7">
        <v>14.0</v>
      </c>
      <c r="E9" s="4">
        <f>+3.1</f>
        <v>3.1</v>
      </c>
    </row>
    <row r="10">
      <c r="A10" s="8" t="s">
        <v>15</v>
      </c>
      <c r="B10" s="5" t="s">
        <v>170</v>
      </c>
      <c r="C10" s="9">
        <v>0.857</v>
      </c>
      <c r="D10" s="7">
        <v>18.9</v>
      </c>
      <c r="E10" s="4">
        <f>+5.6</f>
        <v>5.6</v>
      </c>
    </row>
    <row r="11">
      <c r="A11" s="8" t="s">
        <v>26</v>
      </c>
      <c r="B11" s="5" t="s">
        <v>17</v>
      </c>
      <c r="C11" s="9">
        <v>0.846</v>
      </c>
      <c r="D11" s="7">
        <v>14.8</v>
      </c>
      <c r="E11" s="4">
        <f>+8.6</f>
        <v>8.6</v>
      </c>
    </row>
    <row r="12">
      <c r="A12" s="8" t="s">
        <v>20</v>
      </c>
      <c r="B12" s="5" t="s">
        <v>17</v>
      </c>
      <c r="C12" s="9">
        <v>0.846</v>
      </c>
      <c r="D12" s="7">
        <v>18.8</v>
      </c>
      <c r="E12" s="4">
        <f>+5.1</f>
        <v>5.1</v>
      </c>
    </row>
    <row r="13">
      <c r="A13" s="8" t="s">
        <v>124</v>
      </c>
      <c r="B13" s="5" t="s">
        <v>17</v>
      </c>
      <c r="C13" s="9">
        <v>0.846</v>
      </c>
      <c r="D13" s="7">
        <v>17.8</v>
      </c>
      <c r="E13" s="4">
        <f>+5.6</f>
        <v>5.6</v>
      </c>
    </row>
    <row r="14">
      <c r="A14" s="8" t="s">
        <v>28</v>
      </c>
      <c r="B14" s="5" t="s">
        <v>17</v>
      </c>
      <c r="C14" s="9">
        <v>0.846</v>
      </c>
      <c r="D14" s="7">
        <v>28.6</v>
      </c>
      <c r="E14" s="4">
        <f>+0.8</f>
        <v>0.8</v>
      </c>
    </row>
    <row r="15">
      <c r="A15" s="8" t="s">
        <v>76</v>
      </c>
      <c r="B15" s="5" t="s">
        <v>17</v>
      </c>
      <c r="C15" s="9">
        <v>0.846</v>
      </c>
      <c r="D15" s="7">
        <v>11.5</v>
      </c>
      <c r="E15" s="7">
        <f>+4.3</f>
        <v>4.3</v>
      </c>
    </row>
    <row r="16">
      <c r="A16" s="8" t="s">
        <v>91</v>
      </c>
      <c r="B16" s="5" t="s">
        <v>17</v>
      </c>
      <c r="C16" s="9">
        <v>0.846</v>
      </c>
      <c r="D16" s="7">
        <v>19.8</v>
      </c>
      <c r="E16" s="4">
        <f>+5.2</f>
        <v>5.2</v>
      </c>
    </row>
    <row r="17">
      <c r="A17" s="8" t="s">
        <v>129</v>
      </c>
      <c r="B17" s="5" t="s">
        <v>17</v>
      </c>
      <c r="C17" s="9">
        <v>0.846</v>
      </c>
      <c r="D17" s="7">
        <v>14.2</v>
      </c>
      <c r="E17" s="7">
        <f>+5.6</f>
        <v>5.6</v>
      </c>
    </row>
    <row r="18">
      <c r="A18" s="8" t="s">
        <v>113</v>
      </c>
      <c r="B18" s="5" t="s">
        <v>182</v>
      </c>
      <c r="C18" s="9">
        <v>0.786</v>
      </c>
      <c r="D18" s="7">
        <v>13.9</v>
      </c>
      <c r="E18" s="4">
        <f>+5.9</f>
        <v>5.9</v>
      </c>
    </row>
    <row r="19">
      <c r="A19" s="8" t="s">
        <v>78</v>
      </c>
      <c r="B19" s="5" t="s">
        <v>182</v>
      </c>
      <c r="C19" s="9">
        <v>0.786</v>
      </c>
      <c r="D19" s="7">
        <v>9.1</v>
      </c>
      <c r="E19" s="4">
        <f>+2.1</f>
        <v>2.1</v>
      </c>
    </row>
    <row r="20">
      <c r="A20" s="8" t="s">
        <v>93</v>
      </c>
      <c r="B20" s="5" t="s">
        <v>182</v>
      </c>
      <c r="C20" s="9">
        <v>0.786</v>
      </c>
      <c r="D20" s="7">
        <v>18.2</v>
      </c>
      <c r="E20" s="4">
        <f>+7</f>
        <v>7</v>
      </c>
    </row>
    <row r="21">
      <c r="A21" s="8" t="s">
        <v>24</v>
      </c>
      <c r="B21" s="5" t="s">
        <v>182</v>
      </c>
      <c r="C21" s="9">
        <v>0.786</v>
      </c>
      <c r="D21" s="7">
        <v>17.3</v>
      </c>
      <c r="E21" s="4">
        <f>+2</f>
        <v>2</v>
      </c>
    </row>
    <row r="22">
      <c r="A22" s="8" t="s">
        <v>135</v>
      </c>
      <c r="B22" s="5" t="s">
        <v>182</v>
      </c>
      <c r="C22" s="9">
        <v>0.786</v>
      </c>
      <c r="D22" s="7">
        <v>13.7</v>
      </c>
      <c r="E22" s="4">
        <f>+8.2</f>
        <v>8.2</v>
      </c>
    </row>
    <row r="23">
      <c r="A23" s="8" t="s">
        <v>106</v>
      </c>
      <c r="B23" s="5" t="s">
        <v>29</v>
      </c>
      <c r="C23" s="9">
        <v>0.769</v>
      </c>
      <c r="D23" s="7">
        <v>20.4</v>
      </c>
      <c r="E23" s="4">
        <f>+0.9</f>
        <v>0.9</v>
      </c>
    </row>
    <row r="24">
      <c r="A24" s="8" t="s">
        <v>74</v>
      </c>
      <c r="B24" s="5" t="s">
        <v>29</v>
      </c>
      <c r="C24" s="9">
        <v>0.769</v>
      </c>
      <c r="D24" s="7">
        <v>10.6</v>
      </c>
      <c r="E24" s="4">
        <f>+3.4</f>
        <v>3.4</v>
      </c>
    </row>
    <row r="25">
      <c r="A25" s="8" t="s">
        <v>51</v>
      </c>
      <c r="B25" s="5" t="s">
        <v>29</v>
      </c>
      <c r="C25" s="9">
        <v>0.769</v>
      </c>
      <c r="D25" s="7">
        <v>8.5</v>
      </c>
      <c r="E25" s="7">
        <f>+2.7</f>
        <v>2.7</v>
      </c>
    </row>
    <row r="26">
      <c r="A26" s="8" t="s">
        <v>56</v>
      </c>
      <c r="B26" s="5" t="s">
        <v>29</v>
      </c>
      <c r="C26" s="9">
        <v>0.769</v>
      </c>
      <c r="D26" s="7">
        <v>11.8</v>
      </c>
      <c r="E26" s="7">
        <f>+4</f>
        <v>4</v>
      </c>
    </row>
    <row r="27">
      <c r="A27" s="8" t="s">
        <v>39</v>
      </c>
      <c r="B27" s="5" t="s">
        <v>29</v>
      </c>
      <c r="C27" s="9">
        <v>0.769</v>
      </c>
      <c r="D27" s="7">
        <v>8.5</v>
      </c>
      <c r="E27" s="7">
        <f>+3.7</f>
        <v>3.7</v>
      </c>
    </row>
    <row r="28">
      <c r="A28" s="8" t="s">
        <v>125</v>
      </c>
      <c r="B28" s="5" t="s">
        <v>203</v>
      </c>
      <c r="C28" s="9">
        <v>0.714</v>
      </c>
      <c r="D28" s="7">
        <v>17.1</v>
      </c>
      <c r="E28" s="7">
        <f>+5.3</f>
        <v>5.3</v>
      </c>
    </row>
    <row r="29">
      <c r="A29" s="8" t="s">
        <v>110</v>
      </c>
      <c r="B29" s="5" t="s">
        <v>46</v>
      </c>
      <c r="C29" s="9">
        <v>0.692</v>
      </c>
      <c r="D29" s="7">
        <v>13.7</v>
      </c>
      <c r="E29" s="4">
        <f>+3.3</f>
        <v>3.3</v>
      </c>
    </row>
    <row r="30">
      <c r="A30" s="8" t="s">
        <v>33</v>
      </c>
      <c r="B30" s="5" t="s">
        <v>46</v>
      </c>
      <c r="C30" s="9">
        <v>0.692</v>
      </c>
      <c r="D30" s="7">
        <v>11.0</v>
      </c>
      <c r="E30" s="7">
        <f>+1</f>
        <v>1</v>
      </c>
    </row>
    <row r="31">
      <c r="A31" s="8" t="s">
        <v>67</v>
      </c>
      <c r="B31" s="5" t="s">
        <v>46</v>
      </c>
      <c r="C31" s="9">
        <v>0.692</v>
      </c>
      <c r="D31" s="7">
        <v>5.3</v>
      </c>
      <c r="E31" s="4">
        <f>+5.5</f>
        <v>5.5</v>
      </c>
    </row>
    <row r="32">
      <c r="A32" s="8" t="s">
        <v>52</v>
      </c>
      <c r="B32" s="5" t="s">
        <v>343</v>
      </c>
      <c r="C32" s="9">
        <v>0.667</v>
      </c>
      <c r="D32" s="7">
        <v>2.0</v>
      </c>
      <c r="E32" s="7">
        <f>+3.1</f>
        <v>3.1</v>
      </c>
    </row>
    <row r="33">
      <c r="A33" s="8" t="s">
        <v>127</v>
      </c>
      <c r="B33" s="5" t="s">
        <v>224</v>
      </c>
      <c r="C33" s="9">
        <v>0.643</v>
      </c>
      <c r="D33" s="7">
        <v>1.6</v>
      </c>
      <c r="E33" s="7">
        <v>-4.1</v>
      </c>
    </row>
    <row r="34">
      <c r="A34" s="8" t="s">
        <v>31</v>
      </c>
      <c r="B34" s="5" t="s">
        <v>224</v>
      </c>
      <c r="C34" s="9">
        <v>0.643</v>
      </c>
      <c r="D34" s="7">
        <v>4.9</v>
      </c>
      <c r="E34" s="7">
        <f>+1.5</f>
        <v>1.5</v>
      </c>
    </row>
    <row r="35">
      <c r="A35" s="8" t="s">
        <v>104</v>
      </c>
      <c r="B35" s="5" t="s">
        <v>69</v>
      </c>
      <c r="C35" s="9">
        <v>0.615</v>
      </c>
      <c r="D35" s="7">
        <v>10.2</v>
      </c>
      <c r="E35" s="4">
        <f>+4.5</f>
        <v>4.5</v>
      </c>
    </row>
    <row r="36">
      <c r="A36" s="8" t="s">
        <v>105</v>
      </c>
      <c r="B36" s="5" t="s">
        <v>69</v>
      </c>
      <c r="C36" s="9">
        <v>0.615</v>
      </c>
      <c r="D36" s="7">
        <v>0.8</v>
      </c>
      <c r="E36" s="7">
        <v>-4.7</v>
      </c>
    </row>
    <row r="37">
      <c r="A37" s="8" t="s">
        <v>109</v>
      </c>
      <c r="B37" s="5" t="s">
        <v>69</v>
      </c>
      <c r="C37" s="9">
        <v>0.615</v>
      </c>
      <c r="D37" s="7">
        <v>7.8</v>
      </c>
      <c r="E37" s="4">
        <f>+6.5</f>
        <v>6.5</v>
      </c>
    </row>
    <row r="38">
      <c r="A38" s="8" t="s">
        <v>54</v>
      </c>
      <c r="B38" s="5" t="s">
        <v>69</v>
      </c>
      <c r="C38" s="9">
        <v>0.615</v>
      </c>
      <c r="D38" s="7">
        <v>2.5</v>
      </c>
      <c r="E38" s="4">
        <f>+1.4</f>
        <v>1.4</v>
      </c>
    </row>
    <row r="39">
      <c r="A39" s="8" t="s">
        <v>5</v>
      </c>
      <c r="B39" s="5" t="s">
        <v>69</v>
      </c>
      <c r="C39" s="9">
        <v>0.615</v>
      </c>
      <c r="D39" s="7">
        <v>7.4</v>
      </c>
      <c r="E39" s="7">
        <f>+2</f>
        <v>2</v>
      </c>
    </row>
    <row r="40">
      <c r="A40" s="8" t="s">
        <v>92</v>
      </c>
      <c r="B40" s="5" t="s">
        <v>69</v>
      </c>
      <c r="C40" s="9">
        <v>0.615</v>
      </c>
      <c r="D40" s="7">
        <v>8.2</v>
      </c>
      <c r="E40" s="7">
        <f>+7.2</f>
        <v>7.2</v>
      </c>
    </row>
    <row r="41">
      <c r="A41" s="8" t="s">
        <v>35</v>
      </c>
      <c r="B41" s="5" t="s">
        <v>69</v>
      </c>
      <c r="C41" s="9">
        <v>0.615</v>
      </c>
      <c r="D41" s="7">
        <v>7.8</v>
      </c>
      <c r="E41" s="4">
        <f>+2.5</f>
        <v>2.5</v>
      </c>
    </row>
    <row r="42">
      <c r="A42" s="8" t="s">
        <v>14</v>
      </c>
      <c r="B42" s="5" t="s">
        <v>69</v>
      </c>
      <c r="C42" s="9">
        <v>0.615</v>
      </c>
      <c r="D42" s="7">
        <v>7.0</v>
      </c>
      <c r="E42" s="7">
        <v>-1.6</v>
      </c>
    </row>
    <row r="43">
      <c r="A43" s="8" t="s">
        <v>156</v>
      </c>
      <c r="B43" s="5" t="s">
        <v>69</v>
      </c>
      <c r="C43" s="9">
        <v>0.615</v>
      </c>
      <c r="D43" s="7">
        <v>5.7</v>
      </c>
      <c r="E43" s="7">
        <v>-0.3</v>
      </c>
    </row>
    <row r="44">
      <c r="A44" s="8" t="s">
        <v>62</v>
      </c>
      <c r="B44" s="5" t="s">
        <v>69</v>
      </c>
      <c r="C44" s="9">
        <v>0.615</v>
      </c>
      <c r="D44" s="7">
        <v>-0.3</v>
      </c>
      <c r="E44" s="4">
        <f>+1.9</f>
        <v>1.9</v>
      </c>
    </row>
    <row r="45">
      <c r="A45" s="8" t="s">
        <v>95</v>
      </c>
      <c r="B45" s="5" t="s">
        <v>69</v>
      </c>
      <c r="C45" s="9">
        <v>0.615</v>
      </c>
      <c r="D45" s="7">
        <v>-0.5</v>
      </c>
      <c r="E45" s="7">
        <v>-2.2</v>
      </c>
    </row>
    <row r="46">
      <c r="A46" s="8" t="s">
        <v>130</v>
      </c>
      <c r="B46" s="5" t="s">
        <v>69</v>
      </c>
      <c r="C46" s="9">
        <v>0.615</v>
      </c>
      <c r="D46" s="7">
        <v>7.6</v>
      </c>
      <c r="E46" s="7">
        <f>+5.5</f>
        <v>5.5</v>
      </c>
    </row>
    <row r="47">
      <c r="A47" s="8" t="s">
        <v>63</v>
      </c>
      <c r="B47" s="5" t="s">
        <v>69</v>
      </c>
      <c r="C47" s="9">
        <v>0.615</v>
      </c>
      <c r="D47" s="7">
        <v>12.6</v>
      </c>
      <c r="E47" s="4">
        <f>+2.8</f>
        <v>2.8</v>
      </c>
    </row>
    <row r="48">
      <c r="A48" s="8" t="s">
        <v>64</v>
      </c>
      <c r="B48" s="5" t="s">
        <v>69</v>
      </c>
      <c r="C48" s="9">
        <v>0.615</v>
      </c>
      <c r="D48" s="7">
        <v>2.4</v>
      </c>
      <c r="E48" s="7">
        <v>-0.2</v>
      </c>
    </row>
    <row r="49">
      <c r="A49" s="8" t="s">
        <v>80</v>
      </c>
      <c r="B49" s="5" t="s">
        <v>69</v>
      </c>
      <c r="C49" s="9">
        <v>0.615</v>
      </c>
      <c r="D49" s="7">
        <v>-0.7</v>
      </c>
      <c r="E49" s="7">
        <f>+0.7</f>
        <v>0.7</v>
      </c>
    </row>
    <row r="50">
      <c r="A50" s="8" t="s">
        <v>41</v>
      </c>
      <c r="B50" s="5" t="s">
        <v>69</v>
      </c>
      <c r="C50" s="9">
        <v>0.615</v>
      </c>
      <c r="D50" s="7">
        <v>3.1</v>
      </c>
      <c r="E50" s="4">
        <f>+0.3</f>
        <v>0.3</v>
      </c>
    </row>
    <row r="51">
      <c r="A51" s="8" t="s">
        <v>65</v>
      </c>
      <c r="B51" s="5" t="s">
        <v>69</v>
      </c>
      <c r="C51" s="9">
        <v>0.615</v>
      </c>
      <c r="D51" s="7">
        <v>2.8</v>
      </c>
      <c r="E51" s="7">
        <v>-1.0</v>
      </c>
    </row>
    <row r="52">
      <c r="A52" s="8" t="s">
        <v>146</v>
      </c>
      <c r="B52" s="5" t="s">
        <v>69</v>
      </c>
      <c r="C52" s="9">
        <v>0.615</v>
      </c>
      <c r="D52" s="7">
        <v>6.2</v>
      </c>
      <c r="E52" s="7">
        <f>+1.3</f>
        <v>1.3</v>
      </c>
    </row>
    <row r="53">
      <c r="A53" s="8" t="s">
        <v>115</v>
      </c>
      <c r="B53" s="5" t="s">
        <v>69</v>
      </c>
      <c r="C53" s="9">
        <v>0.615</v>
      </c>
      <c r="D53" s="7">
        <v>0.4</v>
      </c>
      <c r="E53" s="7">
        <v>-3.6</v>
      </c>
    </row>
    <row r="54">
      <c r="A54" s="8" t="s">
        <v>66</v>
      </c>
      <c r="B54" s="5" t="s">
        <v>69</v>
      </c>
      <c r="C54" s="9">
        <v>0.615</v>
      </c>
      <c r="D54" s="7">
        <v>-1.3</v>
      </c>
      <c r="E54" s="7">
        <v>-4.3</v>
      </c>
    </row>
    <row r="55">
      <c r="A55" s="8" t="s">
        <v>136</v>
      </c>
      <c r="B55" s="5" t="s">
        <v>69</v>
      </c>
      <c r="C55" s="9">
        <v>0.615</v>
      </c>
      <c r="D55" s="7">
        <v>4.8</v>
      </c>
      <c r="E55" s="7">
        <f>+3.2</f>
        <v>3.2</v>
      </c>
    </row>
    <row r="56">
      <c r="A56" s="8" t="s">
        <v>72</v>
      </c>
      <c r="B56" s="5" t="s">
        <v>244</v>
      </c>
      <c r="C56" s="9">
        <v>0.571</v>
      </c>
      <c r="D56" s="7">
        <v>2.1</v>
      </c>
      <c r="E56" s="4">
        <f>+4.5</f>
        <v>4.5</v>
      </c>
    </row>
    <row r="57">
      <c r="A57" s="8" t="s">
        <v>87</v>
      </c>
      <c r="B57" s="5" t="s">
        <v>244</v>
      </c>
      <c r="C57" s="9">
        <v>0.571</v>
      </c>
      <c r="D57" s="7">
        <v>-4.0</v>
      </c>
      <c r="E57" s="7">
        <v>-0.6</v>
      </c>
    </row>
    <row r="58">
      <c r="A58" s="8" t="s">
        <v>45</v>
      </c>
      <c r="B58" s="5" t="s">
        <v>88</v>
      </c>
      <c r="C58" s="9">
        <v>0.539</v>
      </c>
      <c r="D58" s="7">
        <v>7.2</v>
      </c>
      <c r="E58" s="4">
        <f>+0.3</f>
        <v>0.3</v>
      </c>
    </row>
    <row r="59">
      <c r="A59" s="8" t="s">
        <v>50</v>
      </c>
      <c r="B59" s="5" t="s">
        <v>88</v>
      </c>
      <c r="C59" s="9">
        <v>0.539</v>
      </c>
      <c r="D59" s="7">
        <v>7.8</v>
      </c>
      <c r="E59" s="7">
        <v>0.0</v>
      </c>
    </row>
    <row r="60">
      <c r="A60" s="8" t="s">
        <v>107</v>
      </c>
      <c r="B60" s="5" t="s">
        <v>88</v>
      </c>
      <c r="C60" s="9">
        <v>0.539</v>
      </c>
      <c r="D60" s="7">
        <v>-2.6</v>
      </c>
      <c r="E60" s="7">
        <f>+4.8</f>
        <v>4.8</v>
      </c>
    </row>
    <row r="61">
      <c r="A61" s="8" t="s">
        <v>140</v>
      </c>
      <c r="B61" s="5" t="s">
        <v>88</v>
      </c>
      <c r="C61" s="9">
        <v>0.539</v>
      </c>
      <c r="D61" s="7">
        <v>-10.6</v>
      </c>
      <c r="E61" s="7">
        <v>-4.9</v>
      </c>
    </row>
    <row r="62">
      <c r="A62" s="8" t="s">
        <v>126</v>
      </c>
      <c r="B62" s="5" t="s">
        <v>88</v>
      </c>
      <c r="C62" s="9">
        <v>0.539</v>
      </c>
      <c r="D62" s="7">
        <v>-0.2</v>
      </c>
      <c r="E62" s="7">
        <v>-7.3</v>
      </c>
    </row>
    <row r="63">
      <c r="A63" s="8" t="s">
        <v>57</v>
      </c>
      <c r="B63" s="5" t="s">
        <v>88</v>
      </c>
      <c r="C63" s="9">
        <v>0.539</v>
      </c>
      <c r="D63" s="7">
        <v>6.2</v>
      </c>
      <c r="E63" s="7">
        <v>-0.8</v>
      </c>
    </row>
    <row r="64">
      <c r="A64" s="8" t="s">
        <v>79</v>
      </c>
      <c r="B64" s="5" t="s">
        <v>88</v>
      </c>
      <c r="C64" s="9">
        <v>0.539</v>
      </c>
      <c r="D64" s="7">
        <v>0.4</v>
      </c>
      <c r="E64" s="7">
        <v>-1.2</v>
      </c>
    </row>
    <row r="65">
      <c r="A65" s="8" t="s">
        <v>16</v>
      </c>
      <c r="B65" s="5" t="s">
        <v>88</v>
      </c>
      <c r="C65" s="9">
        <v>0.539</v>
      </c>
      <c r="D65" s="7">
        <v>6.8</v>
      </c>
      <c r="E65" s="4">
        <f>+1.8</f>
        <v>1.8</v>
      </c>
    </row>
    <row r="66">
      <c r="A66" s="8" t="s">
        <v>94</v>
      </c>
      <c r="B66" s="5" t="s">
        <v>88</v>
      </c>
      <c r="C66" s="9">
        <v>0.539</v>
      </c>
      <c r="D66" s="7">
        <v>-1.5</v>
      </c>
      <c r="E66" s="7">
        <v>-6.3</v>
      </c>
    </row>
    <row r="67">
      <c r="A67" s="8" t="s">
        <v>19</v>
      </c>
      <c r="B67" s="5" t="s">
        <v>88</v>
      </c>
      <c r="C67" s="9">
        <v>0.539</v>
      </c>
      <c r="D67" s="7">
        <v>3.0</v>
      </c>
      <c r="E67" s="7">
        <v>-3.0</v>
      </c>
    </row>
    <row r="68">
      <c r="A68" s="8" t="s">
        <v>132</v>
      </c>
      <c r="B68" s="5" t="s">
        <v>88</v>
      </c>
      <c r="C68" s="9">
        <v>0.539</v>
      </c>
      <c r="D68" s="7">
        <v>9.4</v>
      </c>
      <c r="E68" s="4">
        <f>+7.7</f>
        <v>7.7</v>
      </c>
    </row>
    <row r="69">
      <c r="A69" s="8" t="s">
        <v>99</v>
      </c>
      <c r="B69" s="5" t="s">
        <v>88</v>
      </c>
      <c r="C69" s="9">
        <v>0.539</v>
      </c>
      <c r="D69" s="7">
        <v>0.0</v>
      </c>
      <c r="E69" s="4">
        <f>+0.2</f>
        <v>0.2</v>
      </c>
    </row>
    <row r="70">
      <c r="A70" s="8" t="s">
        <v>158</v>
      </c>
      <c r="B70" s="5" t="s">
        <v>88</v>
      </c>
      <c r="C70" s="9">
        <v>0.539</v>
      </c>
      <c r="D70" s="7">
        <v>-5.0</v>
      </c>
      <c r="E70" s="7">
        <v>-0.3</v>
      </c>
    </row>
    <row r="71">
      <c r="A71" s="8" t="s">
        <v>159</v>
      </c>
      <c r="B71" s="5" t="s">
        <v>88</v>
      </c>
      <c r="C71" s="9">
        <v>0.539</v>
      </c>
      <c r="D71" s="7">
        <v>-2.5</v>
      </c>
      <c r="E71" s="7">
        <v>-0.3</v>
      </c>
    </row>
    <row r="72">
      <c r="A72" s="8" t="s">
        <v>48</v>
      </c>
      <c r="B72" s="5" t="s">
        <v>90</v>
      </c>
      <c r="C72" s="9">
        <v>0.5</v>
      </c>
      <c r="D72" s="7">
        <v>-4.9</v>
      </c>
      <c r="E72" s="7">
        <v>-8.3</v>
      </c>
    </row>
    <row r="73">
      <c r="A73" s="8" t="s">
        <v>58</v>
      </c>
      <c r="B73" s="5" t="s">
        <v>90</v>
      </c>
      <c r="C73" s="9">
        <v>0.5</v>
      </c>
      <c r="D73" s="7">
        <v>5.9</v>
      </c>
      <c r="E73" s="7">
        <v>-5.3</v>
      </c>
    </row>
    <row r="74">
      <c r="A74" s="8" t="s">
        <v>118</v>
      </c>
      <c r="B74" s="5" t="s">
        <v>261</v>
      </c>
      <c r="C74" s="9">
        <v>0.462</v>
      </c>
      <c r="D74" s="7">
        <v>-1.5</v>
      </c>
      <c r="E74" s="7">
        <v>-2.3</v>
      </c>
    </row>
    <row r="75">
      <c r="A75" s="8" t="s">
        <v>111</v>
      </c>
      <c r="B75" s="5" t="s">
        <v>261</v>
      </c>
      <c r="C75" s="9">
        <v>0.462</v>
      </c>
      <c r="D75" s="7">
        <v>-1.2</v>
      </c>
      <c r="E75" s="7">
        <v>-4.6</v>
      </c>
    </row>
    <row r="76">
      <c r="A76" s="8" t="s">
        <v>55</v>
      </c>
      <c r="B76" s="5" t="s">
        <v>261</v>
      </c>
      <c r="C76" s="9">
        <v>0.462</v>
      </c>
      <c r="D76" s="7">
        <v>0.5</v>
      </c>
      <c r="E76" s="7">
        <f>+4.9</f>
        <v>4.9</v>
      </c>
    </row>
    <row r="77">
      <c r="A77" s="8" t="s">
        <v>96</v>
      </c>
      <c r="B77" s="5" t="s">
        <v>261</v>
      </c>
      <c r="C77" s="9">
        <v>0.462</v>
      </c>
      <c r="D77" s="7">
        <v>6.4</v>
      </c>
      <c r="E77" s="7">
        <v>-2.7</v>
      </c>
    </row>
    <row r="78">
      <c r="A78" s="8" t="s">
        <v>25</v>
      </c>
      <c r="B78" s="5" t="s">
        <v>261</v>
      </c>
      <c r="C78" s="9">
        <v>0.462</v>
      </c>
      <c r="D78" s="7">
        <v>5.5</v>
      </c>
      <c r="E78" s="7">
        <v>-5.3</v>
      </c>
    </row>
    <row r="79">
      <c r="A79" s="8" t="s">
        <v>114</v>
      </c>
      <c r="B79" s="5" t="s">
        <v>261</v>
      </c>
      <c r="C79" s="9">
        <v>0.462</v>
      </c>
      <c r="D79" s="7">
        <v>0.1</v>
      </c>
      <c r="E79" s="7">
        <v>-3.6</v>
      </c>
    </row>
    <row r="80">
      <c r="A80" s="8" t="s">
        <v>154</v>
      </c>
      <c r="B80" s="5" t="s">
        <v>261</v>
      </c>
      <c r="C80" s="9">
        <v>0.462</v>
      </c>
      <c r="D80" s="7">
        <v>-3.2</v>
      </c>
      <c r="E80" s="7">
        <v>-0.9</v>
      </c>
    </row>
    <row r="81">
      <c r="A81" s="8" t="s">
        <v>83</v>
      </c>
      <c r="B81" s="5" t="s">
        <v>261</v>
      </c>
      <c r="C81" s="9">
        <v>0.462</v>
      </c>
      <c r="D81" s="7">
        <v>-0.8</v>
      </c>
      <c r="E81" s="7">
        <v>-4.5</v>
      </c>
    </row>
    <row r="82">
      <c r="A82" s="8" t="s">
        <v>138</v>
      </c>
      <c r="B82" s="5" t="s">
        <v>103</v>
      </c>
      <c r="C82" s="9">
        <v>0.417</v>
      </c>
      <c r="D82" s="7">
        <v>-5.3</v>
      </c>
      <c r="E82" s="7">
        <v>-3.7</v>
      </c>
    </row>
    <row r="83">
      <c r="A83" s="8" t="s">
        <v>120</v>
      </c>
      <c r="B83" s="5" t="s">
        <v>103</v>
      </c>
      <c r="C83" s="9">
        <v>0.417</v>
      </c>
      <c r="D83" s="7">
        <v>3.4</v>
      </c>
      <c r="E83" s="4">
        <f>+4.3</f>
        <v>4.3</v>
      </c>
    </row>
    <row r="84">
      <c r="A84" s="8" t="s">
        <v>141</v>
      </c>
      <c r="B84" s="5" t="s">
        <v>103</v>
      </c>
      <c r="C84" s="9">
        <v>0.417</v>
      </c>
      <c r="D84" s="7">
        <v>-1.8</v>
      </c>
      <c r="E84" s="4">
        <f>+2.9</f>
        <v>2.9</v>
      </c>
    </row>
    <row r="85">
      <c r="A85" s="8" t="s">
        <v>142</v>
      </c>
      <c r="B85" s="5" t="s">
        <v>103</v>
      </c>
      <c r="C85" s="9">
        <v>0.417</v>
      </c>
      <c r="D85" s="7">
        <v>-8.3</v>
      </c>
      <c r="E85" s="7">
        <v>-0.5</v>
      </c>
    </row>
    <row r="86">
      <c r="A86" s="8" t="s">
        <v>77</v>
      </c>
      <c r="B86" s="5" t="s">
        <v>103</v>
      </c>
      <c r="C86" s="9">
        <v>0.417</v>
      </c>
      <c r="D86" s="7">
        <v>0.3</v>
      </c>
      <c r="E86" s="7">
        <v>-3.4</v>
      </c>
    </row>
    <row r="87">
      <c r="A87" s="8" t="s">
        <v>60</v>
      </c>
      <c r="B87" s="5" t="s">
        <v>103</v>
      </c>
      <c r="C87" s="9">
        <v>0.417</v>
      </c>
      <c r="D87" s="7">
        <v>3.9</v>
      </c>
      <c r="E87" s="7">
        <v>-2.6</v>
      </c>
    </row>
    <row r="88">
      <c r="A88" s="8" t="s">
        <v>143</v>
      </c>
      <c r="B88" s="5" t="s">
        <v>103</v>
      </c>
      <c r="C88" s="9">
        <v>0.417</v>
      </c>
      <c r="D88" s="7">
        <v>-7.1</v>
      </c>
      <c r="E88" s="7">
        <v>-3.0</v>
      </c>
    </row>
    <row r="89">
      <c r="A89" s="8" t="s">
        <v>68</v>
      </c>
      <c r="B89" s="5" t="s">
        <v>103</v>
      </c>
      <c r="C89" s="9">
        <v>0.417</v>
      </c>
      <c r="D89" s="7">
        <v>-0.9</v>
      </c>
      <c r="E89" s="7">
        <v>-4.2</v>
      </c>
    </row>
    <row r="90">
      <c r="A90" s="8" t="s">
        <v>153</v>
      </c>
      <c r="B90" s="5" t="s">
        <v>103</v>
      </c>
      <c r="C90" s="9">
        <v>0.417</v>
      </c>
      <c r="D90" s="7">
        <v>-1.3</v>
      </c>
      <c r="E90" s="7">
        <f>+5.6</f>
        <v>5.6</v>
      </c>
    </row>
    <row r="91">
      <c r="A91" s="8" t="s">
        <v>70</v>
      </c>
      <c r="B91" s="5" t="s">
        <v>103</v>
      </c>
      <c r="C91" s="9">
        <v>0.417</v>
      </c>
      <c r="D91" s="7">
        <v>-3.9</v>
      </c>
      <c r="E91" s="7">
        <v>-3.8</v>
      </c>
    </row>
    <row r="92">
      <c r="A92" s="8" t="s">
        <v>134</v>
      </c>
      <c r="B92" s="5" t="s">
        <v>103</v>
      </c>
      <c r="C92" s="9">
        <v>0.417</v>
      </c>
      <c r="D92" s="7">
        <v>-8.3</v>
      </c>
      <c r="E92" s="7">
        <f>+1.4</f>
        <v>1.4</v>
      </c>
    </row>
    <row r="93">
      <c r="A93" s="8" t="s">
        <v>147</v>
      </c>
      <c r="B93" s="5" t="s">
        <v>103</v>
      </c>
      <c r="C93" s="9">
        <v>0.417</v>
      </c>
      <c r="D93" s="7">
        <v>-2.4</v>
      </c>
      <c r="E93" s="7">
        <v>-2.1</v>
      </c>
    </row>
    <row r="94">
      <c r="A94" s="8" t="s">
        <v>100</v>
      </c>
      <c r="B94" s="5" t="s">
        <v>103</v>
      </c>
      <c r="C94" s="9">
        <v>0.417</v>
      </c>
      <c r="D94" s="7">
        <v>-0.2</v>
      </c>
      <c r="E94" s="4">
        <f>+1.1</f>
        <v>1.1</v>
      </c>
    </row>
    <row r="95">
      <c r="A95" s="8" t="s">
        <v>85</v>
      </c>
      <c r="B95" s="5" t="s">
        <v>296</v>
      </c>
      <c r="C95" s="9">
        <v>0.385</v>
      </c>
      <c r="D95" s="7">
        <v>5.5</v>
      </c>
      <c r="E95" s="7">
        <v>-3.7</v>
      </c>
    </row>
    <row r="96">
      <c r="A96" s="8" t="s">
        <v>122</v>
      </c>
      <c r="B96" s="5" t="s">
        <v>119</v>
      </c>
      <c r="C96" s="9">
        <v>0.333</v>
      </c>
      <c r="D96" s="7">
        <v>-4.9</v>
      </c>
      <c r="E96" s="4">
        <f>+1.4</f>
        <v>1.4</v>
      </c>
    </row>
    <row r="97">
      <c r="A97" s="8" t="s">
        <v>53</v>
      </c>
      <c r="B97" s="5" t="s">
        <v>119</v>
      </c>
      <c r="C97" s="9">
        <v>0.333</v>
      </c>
      <c r="D97" s="7">
        <v>-0.1</v>
      </c>
      <c r="E97" s="7">
        <v>-5.7</v>
      </c>
    </row>
    <row r="98">
      <c r="A98" s="8" t="s">
        <v>123</v>
      </c>
      <c r="B98" s="5" t="s">
        <v>119</v>
      </c>
      <c r="C98" s="9">
        <v>0.333</v>
      </c>
      <c r="D98" s="7">
        <v>-3.7</v>
      </c>
      <c r="E98" s="7">
        <v>-2.0</v>
      </c>
    </row>
    <row r="99">
      <c r="A99" s="8" t="s">
        <v>12</v>
      </c>
      <c r="B99" s="5" t="s">
        <v>119</v>
      </c>
      <c r="C99" s="9">
        <v>0.333</v>
      </c>
      <c r="D99" s="7">
        <v>0.1</v>
      </c>
      <c r="E99" s="7">
        <f>+1.6</f>
        <v>1.6</v>
      </c>
    </row>
    <row r="100">
      <c r="A100" s="8" t="s">
        <v>151</v>
      </c>
      <c r="B100" s="5" t="s">
        <v>119</v>
      </c>
      <c r="C100" s="9">
        <v>0.333</v>
      </c>
      <c r="D100" s="7">
        <v>-4.8</v>
      </c>
      <c r="E100" s="7">
        <f>+0.3</f>
        <v>0.3</v>
      </c>
    </row>
    <row r="101">
      <c r="A101" s="8" t="s">
        <v>10</v>
      </c>
      <c r="B101" s="5" t="s">
        <v>119</v>
      </c>
      <c r="C101" s="9">
        <v>0.333</v>
      </c>
      <c r="D101" s="7">
        <v>0.2</v>
      </c>
      <c r="E101" s="7">
        <v>-0.5</v>
      </c>
    </row>
    <row r="102">
      <c r="A102" s="8" t="s">
        <v>59</v>
      </c>
      <c r="B102" s="5" t="s">
        <v>119</v>
      </c>
      <c r="C102" s="9">
        <v>0.333</v>
      </c>
      <c r="D102" s="7">
        <v>-6.9</v>
      </c>
      <c r="E102" s="7">
        <v>-1.1</v>
      </c>
    </row>
    <row r="103">
      <c r="A103" s="8" t="s">
        <v>36</v>
      </c>
      <c r="B103" s="5" t="s">
        <v>119</v>
      </c>
      <c r="C103" s="9">
        <v>0.333</v>
      </c>
      <c r="D103" s="7">
        <v>-3.3</v>
      </c>
      <c r="E103" s="7">
        <f>+1.1</f>
        <v>1.1</v>
      </c>
    </row>
    <row r="104">
      <c r="A104" s="8" t="s">
        <v>37</v>
      </c>
      <c r="B104" s="5" t="s">
        <v>119</v>
      </c>
      <c r="C104" s="9">
        <v>0.333</v>
      </c>
      <c r="D104" s="7">
        <v>-8.1</v>
      </c>
      <c r="E104" s="7">
        <v>-3.6</v>
      </c>
    </row>
    <row r="105">
      <c r="A105" s="8" t="s">
        <v>144</v>
      </c>
      <c r="B105" s="5" t="s">
        <v>119</v>
      </c>
      <c r="C105" s="9">
        <v>0.333</v>
      </c>
      <c r="D105" s="7">
        <v>-3.6</v>
      </c>
      <c r="E105" s="7">
        <v>0.0</v>
      </c>
    </row>
    <row r="106">
      <c r="A106" s="8" t="s">
        <v>18</v>
      </c>
      <c r="B106" s="5" t="s">
        <v>119</v>
      </c>
      <c r="C106" s="9">
        <v>0.333</v>
      </c>
      <c r="D106" s="7">
        <v>-1.9</v>
      </c>
      <c r="E106" s="7">
        <v>-6.8</v>
      </c>
    </row>
    <row r="107">
      <c r="A107" s="8" t="s">
        <v>30</v>
      </c>
      <c r="B107" s="5" t="s">
        <v>119</v>
      </c>
      <c r="C107" s="9">
        <v>0.333</v>
      </c>
      <c r="D107" s="7">
        <v>-8.8</v>
      </c>
      <c r="E107" s="7">
        <v>-0.8</v>
      </c>
    </row>
    <row r="108">
      <c r="A108" s="8" t="s">
        <v>152</v>
      </c>
      <c r="B108" s="5" t="s">
        <v>119</v>
      </c>
      <c r="C108" s="9">
        <v>0.333</v>
      </c>
      <c r="D108" s="7">
        <v>-3.1</v>
      </c>
      <c r="E108" s="7">
        <f>+3.2</f>
        <v>3.2</v>
      </c>
    </row>
    <row r="109">
      <c r="A109" s="8" t="s">
        <v>131</v>
      </c>
      <c r="B109" s="5" t="s">
        <v>119</v>
      </c>
      <c r="C109" s="9">
        <v>0.333</v>
      </c>
      <c r="D109" s="7">
        <v>-8.2</v>
      </c>
      <c r="E109" s="7">
        <v>-4.4</v>
      </c>
    </row>
    <row r="110">
      <c r="A110" s="8" t="s">
        <v>40</v>
      </c>
      <c r="B110" s="5" t="s">
        <v>119</v>
      </c>
      <c r="C110" s="9">
        <v>0.333</v>
      </c>
      <c r="D110" s="7">
        <v>-8.8</v>
      </c>
      <c r="E110" s="7">
        <v>-5.3</v>
      </c>
    </row>
    <row r="111">
      <c r="A111" s="8" t="s">
        <v>145</v>
      </c>
      <c r="B111" s="5" t="s">
        <v>119</v>
      </c>
      <c r="C111" s="9">
        <v>0.333</v>
      </c>
      <c r="D111" s="7">
        <v>-8.1</v>
      </c>
      <c r="E111" s="7">
        <v>-2.3</v>
      </c>
    </row>
    <row r="112">
      <c r="A112" s="8" t="s">
        <v>82</v>
      </c>
      <c r="B112" s="5" t="s">
        <v>119</v>
      </c>
      <c r="C112" s="9">
        <v>0.333</v>
      </c>
      <c r="D112" s="7">
        <v>-8.0</v>
      </c>
      <c r="E112" s="7">
        <v>-10.5</v>
      </c>
    </row>
    <row r="113">
      <c r="A113" s="8" t="s">
        <v>101</v>
      </c>
      <c r="B113" s="5" t="s">
        <v>119</v>
      </c>
      <c r="C113" s="9">
        <v>0.333</v>
      </c>
      <c r="D113" s="7">
        <v>-13.6</v>
      </c>
      <c r="E113" s="7">
        <f>+0.4</f>
        <v>0.4</v>
      </c>
    </row>
    <row r="114">
      <c r="A114" s="8" t="s">
        <v>121</v>
      </c>
      <c r="B114" s="5" t="s">
        <v>139</v>
      </c>
      <c r="C114" s="9">
        <v>0.25</v>
      </c>
      <c r="D114" s="7">
        <v>-22.6</v>
      </c>
      <c r="E114" s="7">
        <v>-6.1</v>
      </c>
    </row>
    <row r="115">
      <c r="A115" s="8" t="s">
        <v>108</v>
      </c>
      <c r="B115" s="5" t="s">
        <v>139</v>
      </c>
      <c r="C115" s="9">
        <v>0.25</v>
      </c>
      <c r="D115" s="7">
        <v>-8.0</v>
      </c>
      <c r="E115" s="7">
        <f>+4.5</f>
        <v>4.5</v>
      </c>
    </row>
    <row r="116">
      <c r="A116" s="8" t="s">
        <v>22</v>
      </c>
      <c r="B116" s="5" t="s">
        <v>139</v>
      </c>
      <c r="C116" s="9">
        <v>0.25</v>
      </c>
      <c r="D116" s="7">
        <v>-15.3</v>
      </c>
      <c r="E116" s="7">
        <v>-5.9</v>
      </c>
    </row>
    <row r="117">
      <c r="A117" s="8" t="s">
        <v>89</v>
      </c>
      <c r="B117" s="5" t="s">
        <v>139</v>
      </c>
      <c r="C117" s="9">
        <v>0.25</v>
      </c>
      <c r="D117" s="7">
        <v>-7.3</v>
      </c>
      <c r="E117" s="7">
        <v>-2.8</v>
      </c>
    </row>
    <row r="118">
      <c r="A118" s="8" t="s">
        <v>112</v>
      </c>
      <c r="B118" s="5" t="s">
        <v>139</v>
      </c>
      <c r="C118" s="9">
        <v>0.25</v>
      </c>
      <c r="D118" s="7">
        <v>-12.6</v>
      </c>
      <c r="E118" s="7">
        <v>-0.8</v>
      </c>
    </row>
    <row r="119">
      <c r="A119" s="8" t="s">
        <v>133</v>
      </c>
      <c r="B119" s="5" t="s">
        <v>139</v>
      </c>
      <c r="C119" s="9">
        <v>0.25</v>
      </c>
      <c r="D119" s="7">
        <v>-9.4</v>
      </c>
      <c r="E119" s="7">
        <v>-4.0</v>
      </c>
    </row>
    <row r="120">
      <c r="A120" s="8" t="s">
        <v>42</v>
      </c>
      <c r="B120" s="5" t="s">
        <v>139</v>
      </c>
      <c r="C120" s="9">
        <v>0.25</v>
      </c>
      <c r="D120" s="7">
        <v>-15.8</v>
      </c>
      <c r="E120" s="7">
        <v>-5.5</v>
      </c>
    </row>
    <row r="121">
      <c r="A121" s="8" t="s">
        <v>98</v>
      </c>
      <c r="B121" s="5" t="s">
        <v>139</v>
      </c>
      <c r="C121" s="9">
        <v>0.25</v>
      </c>
      <c r="D121" s="7">
        <v>-14.2</v>
      </c>
      <c r="E121" s="7">
        <v>-3.6</v>
      </c>
    </row>
    <row r="122">
      <c r="A122" s="8" t="s">
        <v>150</v>
      </c>
      <c r="B122" s="5" t="s">
        <v>149</v>
      </c>
      <c r="C122" s="9">
        <v>0.167</v>
      </c>
      <c r="D122" s="7">
        <v>-15.4</v>
      </c>
      <c r="E122" s="7">
        <v>-8.1</v>
      </c>
    </row>
    <row r="123">
      <c r="A123" s="8" t="s">
        <v>128</v>
      </c>
      <c r="B123" s="5" t="s">
        <v>149</v>
      </c>
      <c r="C123" s="9">
        <v>0.167</v>
      </c>
      <c r="D123" s="7">
        <v>-19.3</v>
      </c>
      <c r="E123" s="7">
        <v>-3.9</v>
      </c>
    </row>
    <row r="124">
      <c r="A124" s="8" t="s">
        <v>38</v>
      </c>
      <c r="B124" s="5" t="s">
        <v>149</v>
      </c>
      <c r="C124" s="9">
        <v>0.167</v>
      </c>
      <c r="D124" s="7">
        <v>-14.9</v>
      </c>
      <c r="E124" s="7">
        <v>-3.5</v>
      </c>
    </row>
    <row r="125">
      <c r="A125" s="8" t="s">
        <v>116</v>
      </c>
      <c r="B125" s="5" t="s">
        <v>149</v>
      </c>
      <c r="C125" s="9">
        <v>0.167</v>
      </c>
      <c r="D125" s="7">
        <v>-23.4</v>
      </c>
      <c r="E125" s="7">
        <v>-2.9</v>
      </c>
    </row>
    <row r="126">
      <c r="A126" s="8" t="s">
        <v>43</v>
      </c>
      <c r="B126" s="5" t="s">
        <v>149</v>
      </c>
      <c r="C126" s="9">
        <v>0.167</v>
      </c>
      <c r="D126" s="7">
        <v>-21.6</v>
      </c>
      <c r="E126" s="7">
        <v>-2.7</v>
      </c>
    </row>
    <row r="127">
      <c r="A127" s="8" t="s">
        <v>137</v>
      </c>
      <c r="B127" s="5" t="s">
        <v>149</v>
      </c>
      <c r="C127" s="9">
        <v>0.167</v>
      </c>
      <c r="D127" s="7">
        <v>-12.3</v>
      </c>
      <c r="E127" s="7">
        <f>+1.4</f>
        <v>1.4</v>
      </c>
    </row>
    <row r="128">
      <c r="A128" s="8" t="s">
        <v>148</v>
      </c>
      <c r="B128" s="5" t="s">
        <v>157</v>
      </c>
      <c r="C128" s="9">
        <v>0.083</v>
      </c>
      <c r="D128" s="7">
        <v>-16.3</v>
      </c>
      <c r="E128" s="7">
        <v>-2.8</v>
      </c>
    </row>
    <row r="129">
      <c r="A129" s="8" t="s">
        <v>160</v>
      </c>
      <c r="B129" s="5" t="s">
        <v>157</v>
      </c>
      <c r="C129" s="9">
        <v>0.083</v>
      </c>
      <c r="D129" s="7">
        <v>-32.9</v>
      </c>
      <c r="E129" s="7">
        <v>-10.8</v>
      </c>
    </row>
    <row r="130">
      <c r="A130" s="8" t="s">
        <v>44</v>
      </c>
      <c r="B130" s="5" t="s">
        <v>157</v>
      </c>
      <c r="C130" s="9">
        <v>0.083</v>
      </c>
      <c r="D130" s="7">
        <v>-13.6</v>
      </c>
      <c r="E130" s="7">
        <v>-4.0</v>
      </c>
    </row>
    <row r="131">
      <c r="A131" s="8" t="s">
        <v>102</v>
      </c>
      <c r="B131" s="5" t="s">
        <v>161</v>
      </c>
      <c r="C131" s="9">
        <v>0.0</v>
      </c>
      <c r="D131" s="7">
        <v>-25.8</v>
      </c>
      <c r="E131" s="7">
        <v>-11.7</v>
      </c>
    </row>
    <row r="132">
      <c r="A132" s="8" t="s">
        <v>97</v>
      </c>
      <c r="B132" s="5" t="s">
        <v>338</v>
      </c>
      <c r="C132" s="9">
        <v>0.0</v>
      </c>
      <c r="D132" s="7">
        <v>-3.0</v>
      </c>
      <c r="E132" s="4">
        <f>+25.5</f>
        <v>25.5</v>
      </c>
    </row>
    <row r="133">
      <c r="A133" s="8" t="s">
        <v>11</v>
      </c>
      <c r="B133" s="5" t="s">
        <v>338</v>
      </c>
      <c r="C133" s="9">
        <v>0.0</v>
      </c>
      <c r="D133" s="7">
        <v>-7.0</v>
      </c>
      <c r="E133" s="7">
        <v>0.0</v>
      </c>
    </row>
    <row r="134">
      <c r="A134" s="8" t="s">
        <v>155</v>
      </c>
      <c r="B134" s="5" t="s">
        <v>338</v>
      </c>
      <c r="C134" s="9">
        <v>0.0</v>
      </c>
      <c r="D134" s="7">
        <v>-8.0</v>
      </c>
      <c r="E134" s="7">
        <v>-2.0</v>
      </c>
    </row>
    <row r="135">
      <c r="A135" s="8" t="s">
        <v>84</v>
      </c>
      <c r="B135" s="5" t="s">
        <v>338</v>
      </c>
      <c r="C135" s="9">
        <v>0.0</v>
      </c>
      <c r="D135" s="7">
        <v>-52.0</v>
      </c>
      <c r="E135" s="7">
        <v>-20.5</v>
      </c>
    </row>
    <row r="136">
      <c r="A136" s="8" t="s">
        <v>32</v>
      </c>
      <c r="B136" s="5" t="s">
        <v>338</v>
      </c>
      <c r="C136" s="9">
        <v>0.0</v>
      </c>
      <c r="D136" s="7">
        <v>-3.0</v>
      </c>
      <c r="E136" s="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81</v>
      </c>
      <c r="B2" s="5" t="s">
        <v>341</v>
      </c>
      <c r="C2" s="9">
        <v>1.0</v>
      </c>
      <c r="D2" s="7">
        <v>31.1</v>
      </c>
      <c r="E2" s="4">
        <f>+9</f>
        <v>9</v>
      </c>
    </row>
    <row r="3">
      <c r="A3" s="8" t="s">
        <v>28</v>
      </c>
      <c r="B3" s="5" t="s">
        <v>342</v>
      </c>
      <c r="C3" s="9">
        <v>0.933</v>
      </c>
      <c r="D3" s="7">
        <v>27.5</v>
      </c>
      <c r="E3" s="4">
        <f>+1.6</f>
        <v>1.6</v>
      </c>
    </row>
    <row r="4">
      <c r="A4" s="8" t="s">
        <v>9</v>
      </c>
      <c r="B4" s="5" t="s">
        <v>162</v>
      </c>
      <c r="C4" s="9">
        <v>0.929</v>
      </c>
      <c r="D4" s="7">
        <v>16.9</v>
      </c>
      <c r="E4" s="7">
        <v>-0.7</v>
      </c>
    </row>
    <row r="5">
      <c r="A5" s="8" t="s">
        <v>106</v>
      </c>
      <c r="B5" s="5" t="s">
        <v>8</v>
      </c>
      <c r="C5" s="9">
        <v>0.923</v>
      </c>
      <c r="D5" s="7">
        <v>20.5</v>
      </c>
      <c r="E5" s="4">
        <f>+4.7</f>
        <v>4.7</v>
      </c>
    </row>
    <row r="6">
      <c r="A6" s="8" t="s">
        <v>20</v>
      </c>
      <c r="B6" s="5" t="s">
        <v>8</v>
      </c>
      <c r="C6" s="9">
        <v>0.923</v>
      </c>
      <c r="D6" s="7">
        <v>13.2</v>
      </c>
      <c r="E6" s="7">
        <f>+2</f>
        <v>2</v>
      </c>
    </row>
    <row r="7">
      <c r="A7" s="8" t="s">
        <v>53</v>
      </c>
      <c r="B7" s="5" t="s">
        <v>170</v>
      </c>
      <c r="C7" s="9">
        <v>0.857</v>
      </c>
      <c r="D7" s="7">
        <v>20.5</v>
      </c>
      <c r="E7" s="4">
        <f>+7.1</f>
        <v>7.1</v>
      </c>
    </row>
    <row r="8">
      <c r="A8" s="8" t="s">
        <v>23</v>
      </c>
      <c r="B8" s="5" t="s">
        <v>170</v>
      </c>
      <c r="C8" s="9">
        <v>0.857</v>
      </c>
      <c r="D8" s="7">
        <v>15.1</v>
      </c>
      <c r="E8" s="7">
        <v>-1.3</v>
      </c>
    </row>
    <row r="9">
      <c r="A9" s="8" t="s">
        <v>78</v>
      </c>
      <c r="B9" s="5" t="s">
        <v>17</v>
      </c>
      <c r="C9" s="9">
        <v>0.846</v>
      </c>
      <c r="D9" s="7">
        <v>17.7</v>
      </c>
      <c r="E9" s="4">
        <f>+9.4</f>
        <v>9.4</v>
      </c>
    </row>
    <row r="10">
      <c r="A10" s="8" t="s">
        <v>85</v>
      </c>
      <c r="B10" s="5" t="s">
        <v>17</v>
      </c>
      <c r="C10" s="9">
        <v>0.846</v>
      </c>
      <c r="D10" s="7">
        <v>15.1</v>
      </c>
      <c r="E10" s="4">
        <f>+10.2</f>
        <v>10.2</v>
      </c>
    </row>
    <row r="11">
      <c r="A11" s="8" t="s">
        <v>94</v>
      </c>
      <c r="B11" s="5" t="s">
        <v>17</v>
      </c>
      <c r="C11" s="9">
        <v>0.846</v>
      </c>
      <c r="D11" s="7">
        <v>25.3</v>
      </c>
      <c r="E11" s="4">
        <f>+10.1</f>
        <v>10.1</v>
      </c>
    </row>
    <row r="12">
      <c r="A12" s="8" t="s">
        <v>96</v>
      </c>
      <c r="B12" s="5" t="s">
        <v>17</v>
      </c>
      <c r="C12" s="9">
        <v>0.846</v>
      </c>
      <c r="D12" s="7">
        <v>14.2</v>
      </c>
      <c r="E12" s="4">
        <f>+7</f>
        <v>7</v>
      </c>
    </row>
    <row r="13">
      <c r="A13" s="8" t="s">
        <v>117</v>
      </c>
      <c r="B13" s="5" t="s">
        <v>17</v>
      </c>
      <c r="C13" s="9">
        <v>0.846</v>
      </c>
      <c r="D13" s="7">
        <v>21.8</v>
      </c>
      <c r="E13" s="4">
        <f>+6.5</f>
        <v>6.5</v>
      </c>
    </row>
    <row r="14">
      <c r="A14" s="8" t="s">
        <v>7</v>
      </c>
      <c r="B14" s="5" t="s">
        <v>182</v>
      </c>
      <c r="C14" s="9">
        <v>0.786</v>
      </c>
      <c r="D14" s="7">
        <v>18.6</v>
      </c>
      <c r="E14" s="4">
        <f>+0.4</f>
        <v>0.4</v>
      </c>
    </row>
    <row r="15">
      <c r="A15" s="8" t="s">
        <v>127</v>
      </c>
      <c r="B15" s="5" t="s">
        <v>182</v>
      </c>
      <c r="C15" s="9">
        <v>0.786</v>
      </c>
      <c r="D15" s="7">
        <v>12.9</v>
      </c>
      <c r="E15" s="7">
        <f>+5.3</f>
        <v>5.3</v>
      </c>
    </row>
    <row r="16">
      <c r="A16" s="8" t="s">
        <v>47</v>
      </c>
      <c r="B16" s="5" t="s">
        <v>29</v>
      </c>
      <c r="C16" s="9">
        <v>0.769</v>
      </c>
      <c r="D16" s="7">
        <v>13.3</v>
      </c>
      <c r="E16" s="4">
        <f>+1.3</f>
        <v>1.3</v>
      </c>
    </row>
    <row r="17">
      <c r="A17" s="8" t="s">
        <v>124</v>
      </c>
      <c r="B17" s="5" t="s">
        <v>29</v>
      </c>
      <c r="C17" s="9">
        <v>0.769</v>
      </c>
      <c r="D17" s="7">
        <v>15.0</v>
      </c>
      <c r="E17" s="7">
        <f>+4.7</f>
        <v>4.7</v>
      </c>
    </row>
    <row r="18">
      <c r="A18" s="8" t="s">
        <v>109</v>
      </c>
      <c r="B18" s="5" t="s">
        <v>29</v>
      </c>
      <c r="C18" s="9">
        <v>0.769</v>
      </c>
      <c r="D18" s="7">
        <v>9.8</v>
      </c>
      <c r="E18" s="4">
        <f>+5.4</f>
        <v>5.4</v>
      </c>
    </row>
    <row r="19">
      <c r="A19" s="8" t="s">
        <v>75</v>
      </c>
      <c r="B19" s="5" t="s">
        <v>29</v>
      </c>
      <c r="C19" s="9">
        <v>0.769</v>
      </c>
      <c r="D19" s="7">
        <v>10.6</v>
      </c>
      <c r="E19" s="4">
        <f>+2.7</f>
        <v>2.7</v>
      </c>
    </row>
    <row r="20">
      <c r="A20" s="8" t="s">
        <v>33</v>
      </c>
      <c r="B20" s="5" t="s">
        <v>29</v>
      </c>
      <c r="C20" s="9">
        <v>0.769</v>
      </c>
      <c r="D20" s="7">
        <v>15.8</v>
      </c>
      <c r="E20" s="7">
        <v>-1.1</v>
      </c>
    </row>
    <row r="21">
      <c r="A21" s="8" t="s">
        <v>68</v>
      </c>
      <c r="B21" s="5" t="s">
        <v>29</v>
      </c>
      <c r="C21" s="9">
        <v>0.769</v>
      </c>
      <c r="D21" s="7">
        <v>8.7</v>
      </c>
      <c r="E21" s="4">
        <f>+1.6</f>
        <v>1.6</v>
      </c>
    </row>
    <row r="22">
      <c r="A22" s="8" t="s">
        <v>147</v>
      </c>
      <c r="B22" s="5" t="s">
        <v>29</v>
      </c>
      <c r="C22" s="9">
        <v>0.769</v>
      </c>
      <c r="D22" s="7">
        <v>13.2</v>
      </c>
      <c r="E22" s="4">
        <f>+7.3</f>
        <v>7.3</v>
      </c>
    </row>
    <row r="23">
      <c r="A23" s="8" t="s">
        <v>99</v>
      </c>
      <c r="B23" s="5" t="s">
        <v>29</v>
      </c>
      <c r="C23" s="9">
        <v>0.769</v>
      </c>
      <c r="D23" s="7">
        <v>8.9</v>
      </c>
      <c r="E23" s="4">
        <f>+5.2</f>
        <v>5.2</v>
      </c>
    </row>
    <row r="24">
      <c r="A24" s="8" t="s">
        <v>104</v>
      </c>
      <c r="B24" s="5" t="s">
        <v>203</v>
      </c>
      <c r="C24" s="9">
        <v>0.714</v>
      </c>
      <c r="D24" s="7">
        <v>8.6</v>
      </c>
      <c r="E24" s="4">
        <f>+0.5</f>
        <v>0.5</v>
      </c>
    </row>
    <row r="25">
      <c r="A25" s="8" t="s">
        <v>35</v>
      </c>
      <c r="B25" s="5" t="s">
        <v>203</v>
      </c>
      <c r="C25" s="9">
        <v>0.714</v>
      </c>
      <c r="D25" s="7">
        <v>5.2</v>
      </c>
      <c r="E25" s="7">
        <f>+1.8</f>
        <v>1.8</v>
      </c>
    </row>
    <row r="26">
      <c r="A26" s="8" t="s">
        <v>63</v>
      </c>
      <c r="B26" s="5" t="s">
        <v>203</v>
      </c>
      <c r="C26" s="9">
        <v>0.714</v>
      </c>
      <c r="D26" s="7">
        <v>10.0</v>
      </c>
      <c r="E26" s="7">
        <v>-2.6</v>
      </c>
    </row>
    <row r="27">
      <c r="A27" s="8" t="s">
        <v>50</v>
      </c>
      <c r="B27" s="5" t="s">
        <v>46</v>
      </c>
      <c r="C27" s="9">
        <v>0.692</v>
      </c>
      <c r="D27" s="7">
        <v>15.5</v>
      </c>
      <c r="E27" s="7">
        <f>+7.8</f>
        <v>7.8</v>
      </c>
    </row>
    <row r="28">
      <c r="A28" s="8" t="s">
        <v>105</v>
      </c>
      <c r="B28" s="5" t="s">
        <v>46</v>
      </c>
      <c r="C28" s="9">
        <v>0.692</v>
      </c>
      <c r="D28" s="7">
        <v>6.4</v>
      </c>
      <c r="E28" s="7">
        <f>+0.3</f>
        <v>0.3</v>
      </c>
    </row>
    <row r="29">
      <c r="A29" s="8" t="s">
        <v>91</v>
      </c>
      <c r="B29" s="5" t="s">
        <v>46</v>
      </c>
      <c r="C29" s="9">
        <v>0.692</v>
      </c>
      <c r="D29" s="7">
        <v>13.2</v>
      </c>
      <c r="E29" s="4">
        <f>+1</f>
        <v>1</v>
      </c>
    </row>
    <row r="30">
      <c r="A30" s="8" t="s">
        <v>56</v>
      </c>
      <c r="B30" s="5" t="s">
        <v>46</v>
      </c>
      <c r="C30" s="9">
        <v>0.692</v>
      </c>
      <c r="D30" s="7">
        <v>13.4</v>
      </c>
      <c r="E30" s="7">
        <f>+8.2</f>
        <v>8.2</v>
      </c>
    </row>
    <row r="31">
      <c r="A31" s="8" t="s">
        <v>14</v>
      </c>
      <c r="B31" s="5" t="s">
        <v>46</v>
      </c>
      <c r="C31" s="9">
        <v>0.692</v>
      </c>
      <c r="D31" s="7">
        <v>10.7</v>
      </c>
      <c r="E31" s="4">
        <f>+2.9</f>
        <v>2.9</v>
      </c>
    </row>
    <row r="32">
      <c r="A32" s="8" t="s">
        <v>18</v>
      </c>
      <c r="B32" s="5" t="s">
        <v>46</v>
      </c>
      <c r="C32" s="9">
        <v>0.692</v>
      </c>
      <c r="D32" s="7">
        <v>10.5</v>
      </c>
      <c r="E32" s="7">
        <v>-1.4</v>
      </c>
    </row>
    <row r="33">
      <c r="A33" s="8" t="s">
        <v>131</v>
      </c>
      <c r="B33" s="5" t="s">
        <v>46</v>
      </c>
      <c r="C33" s="9">
        <v>0.692</v>
      </c>
      <c r="D33" s="7">
        <v>5.5</v>
      </c>
      <c r="E33" s="7">
        <v>-1.0</v>
      </c>
    </row>
    <row r="34">
      <c r="A34" s="8" t="s">
        <v>15</v>
      </c>
      <c r="B34" s="5" t="s">
        <v>46</v>
      </c>
      <c r="C34" s="9">
        <v>0.692</v>
      </c>
      <c r="D34" s="7">
        <v>9.5</v>
      </c>
      <c r="E34" s="7">
        <v>-2.3</v>
      </c>
    </row>
    <row r="35">
      <c r="A35" s="8" t="s">
        <v>82</v>
      </c>
      <c r="B35" s="5" t="s">
        <v>46</v>
      </c>
      <c r="C35" s="9">
        <v>0.692</v>
      </c>
      <c r="D35" s="7">
        <v>8.9</v>
      </c>
      <c r="E35" s="4">
        <f>+0.3</f>
        <v>0.3</v>
      </c>
    </row>
    <row r="36">
      <c r="A36" s="8" t="s">
        <v>83</v>
      </c>
      <c r="B36" s="5" t="s">
        <v>46</v>
      </c>
      <c r="C36" s="9">
        <v>0.692</v>
      </c>
      <c r="D36" s="7">
        <v>9.4</v>
      </c>
      <c r="E36" s="7">
        <f>+4.9</f>
        <v>4.9</v>
      </c>
    </row>
    <row r="37">
      <c r="A37" s="8" t="s">
        <v>134</v>
      </c>
      <c r="B37" s="5" t="s">
        <v>49</v>
      </c>
      <c r="C37" s="9">
        <v>0.667</v>
      </c>
      <c r="D37" s="7">
        <v>13.1</v>
      </c>
      <c r="E37" s="4">
        <f>+2.8</f>
        <v>2.8</v>
      </c>
    </row>
    <row r="38">
      <c r="A38" s="8" t="s">
        <v>89</v>
      </c>
      <c r="B38" s="5" t="s">
        <v>224</v>
      </c>
      <c r="C38" s="9">
        <v>0.643</v>
      </c>
      <c r="D38" s="7">
        <v>1.0</v>
      </c>
      <c r="E38" s="4">
        <f>+2</f>
        <v>2</v>
      </c>
    </row>
    <row r="39">
      <c r="A39" s="8" t="s">
        <v>24</v>
      </c>
      <c r="B39" s="5" t="s">
        <v>224</v>
      </c>
      <c r="C39" s="9">
        <v>0.643</v>
      </c>
      <c r="D39" s="7">
        <v>8.6</v>
      </c>
      <c r="E39" s="7">
        <f>+1.6</f>
        <v>1.6</v>
      </c>
    </row>
    <row r="40">
      <c r="A40" s="8" t="s">
        <v>140</v>
      </c>
      <c r="B40" s="5" t="s">
        <v>69</v>
      </c>
      <c r="C40" s="9">
        <v>0.615</v>
      </c>
      <c r="D40" s="7">
        <v>4.2</v>
      </c>
      <c r="E40" s="7">
        <f>+2.8</f>
        <v>2.8</v>
      </c>
    </row>
    <row r="41">
      <c r="A41" s="8" t="s">
        <v>74</v>
      </c>
      <c r="B41" s="5" t="s">
        <v>69</v>
      </c>
      <c r="C41" s="9">
        <v>0.615</v>
      </c>
      <c r="D41" s="7">
        <v>1.7</v>
      </c>
      <c r="E41" s="7">
        <v>-3.5</v>
      </c>
    </row>
    <row r="42">
      <c r="A42" s="8" t="s">
        <v>110</v>
      </c>
      <c r="B42" s="5" t="s">
        <v>69</v>
      </c>
      <c r="C42" s="9">
        <v>0.615</v>
      </c>
      <c r="D42" s="7">
        <v>11.8</v>
      </c>
      <c r="E42" s="7">
        <v>0.0</v>
      </c>
    </row>
    <row r="43">
      <c r="A43" s="8" t="s">
        <v>111</v>
      </c>
      <c r="B43" s="5" t="s">
        <v>69</v>
      </c>
      <c r="C43" s="9">
        <v>0.615</v>
      </c>
      <c r="D43" s="7">
        <v>15.4</v>
      </c>
      <c r="E43" s="7">
        <f>+4.5</f>
        <v>4.5</v>
      </c>
    </row>
    <row r="44">
      <c r="A44" s="8" t="s">
        <v>125</v>
      </c>
      <c r="B44" s="5" t="s">
        <v>69</v>
      </c>
      <c r="C44" s="9">
        <v>0.615</v>
      </c>
      <c r="D44" s="7">
        <v>7.1</v>
      </c>
      <c r="E44" s="7">
        <v>-5.4</v>
      </c>
    </row>
    <row r="45">
      <c r="A45" s="8" t="s">
        <v>57</v>
      </c>
      <c r="B45" s="5" t="s">
        <v>69</v>
      </c>
      <c r="C45" s="9">
        <v>0.615</v>
      </c>
      <c r="D45" s="7">
        <v>3.8</v>
      </c>
      <c r="E45" s="7">
        <v>-0.7</v>
      </c>
    </row>
    <row r="46">
      <c r="A46" s="8" t="s">
        <v>58</v>
      </c>
      <c r="B46" s="5" t="s">
        <v>69</v>
      </c>
      <c r="C46" s="9">
        <v>0.615</v>
      </c>
      <c r="D46" s="7">
        <v>11.2</v>
      </c>
      <c r="E46" s="7">
        <f>+5</f>
        <v>5</v>
      </c>
    </row>
    <row r="47">
      <c r="A47" s="8" t="s">
        <v>36</v>
      </c>
      <c r="B47" s="5" t="s">
        <v>69</v>
      </c>
      <c r="C47" s="9">
        <v>0.615</v>
      </c>
      <c r="D47" s="7">
        <v>6.8</v>
      </c>
      <c r="E47" s="7">
        <v>-4.5</v>
      </c>
    </row>
    <row r="48">
      <c r="A48" s="8" t="s">
        <v>95</v>
      </c>
      <c r="B48" s="5" t="s">
        <v>69</v>
      </c>
      <c r="C48" s="9">
        <v>0.615</v>
      </c>
      <c r="D48" s="7">
        <v>4.7</v>
      </c>
      <c r="E48" s="7">
        <f>+0.9</f>
        <v>0.9</v>
      </c>
    </row>
    <row r="49">
      <c r="A49" s="8" t="s">
        <v>31</v>
      </c>
      <c r="B49" s="5" t="s">
        <v>69</v>
      </c>
      <c r="C49" s="9">
        <v>0.615</v>
      </c>
      <c r="D49" s="7">
        <v>8.4</v>
      </c>
      <c r="E49" s="7">
        <f>+5.9</f>
        <v>5.9</v>
      </c>
    </row>
    <row r="50">
      <c r="A50" s="8" t="s">
        <v>70</v>
      </c>
      <c r="B50" s="5" t="s">
        <v>69</v>
      </c>
      <c r="C50" s="9">
        <v>0.615</v>
      </c>
      <c r="D50" s="7">
        <v>2.0</v>
      </c>
      <c r="E50" s="7">
        <v>-1.3</v>
      </c>
    </row>
    <row r="51">
      <c r="A51" s="8" t="s">
        <v>115</v>
      </c>
      <c r="B51" s="5" t="s">
        <v>69</v>
      </c>
      <c r="C51" s="9">
        <v>0.615</v>
      </c>
      <c r="D51" s="7">
        <v>7.8</v>
      </c>
      <c r="E51" s="7">
        <f>+4</f>
        <v>4</v>
      </c>
    </row>
    <row r="52">
      <c r="A52" s="8" t="s">
        <v>154</v>
      </c>
      <c r="B52" s="5" t="s">
        <v>73</v>
      </c>
      <c r="C52" s="9">
        <v>0.583</v>
      </c>
      <c r="D52" s="7">
        <v>6.3</v>
      </c>
      <c r="E52" s="7">
        <v>-0.8</v>
      </c>
    </row>
    <row r="53">
      <c r="A53" s="8" t="s">
        <v>138</v>
      </c>
      <c r="B53" s="5" t="s">
        <v>244</v>
      </c>
      <c r="C53" s="9">
        <v>0.571</v>
      </c>
      <c r="D53" s="7">
        <v>-2.5</v>
      </c>
      <c r="E53" s="7">
        <v>-2.5</v>
      </c>
    </row>
    <row r="54">
      <c r="A54" s="8" t="s">
        <v>52</v>
      </c>
      <c r="B54" s="5" t="s">
        <v>244</v>
      </c>
      <c r="C54" s="9">
        <v>0.571</v>
      </c>
      <c r="D54" s="7">
        <v>-4.3</v>
      </c>
      <c r="E54" s="7">
        <v>-1.3</v>
      </c>
    </row>
    <row r="55">
      <c r="A55" s="8" t="s">
        <v>61</v>
      </c>
      <c r="B55" s="5" t="s">
        <v>244</v>
      </c>
      <c r="C55" s="9">
        <v>0.571</v>
      </c>
      <c r="D55" s="7">
        <v>11.0</v>
      </c>
      <c r="E55" s="7">
        <v>-1.8</v>
      </c>
    </row>
    <row r="56">
      <c r="A56" s="8" t="s">
        <v>144</v>
      </c>
      <c r="B56" s="5" t="s">
        <v>244</v>
      </c>
      <c r="C56" s="9">
        <v>0.571</v>
      </c>
      <c r="D56" s="7">
        <v>1.3</v>
      </c>
      <c r="E56" s="4">
        <f>+1.4</f>
        <v>1.4</v>
      </c>
    </row>
    <row r="57">
      <c r="A57" s="8" t="s">
        <v>79</v>
      </c>
      <c r="B57" s="5" t="s">
        <v>86</v>
      </c>
      <c r="C57" s="9">
        <v>0.546</v>
      </c>
      <c r="D57" s="7">
        <v>6.4</v>
      </c>
      <c r="E57" s="7">
        <f>+2.8</f>
        <v>2.8</v>
      </c>
    </row>
    <row r="58">
      <c r="A58" s="8" t="s">
        <v>45</v>
      </c>
      <c r="B58" s="5" t="s">
        <v>88</v>
      </c>
      <c r="C58" s="9">
        <v>0.539</v>
      </c>
      <c r="D58" s="7">
        <v>-2.5</v>
      </c>
      <c r="E58" s="7">
        <v>-6.0</v>
      </c>
    </row>
    <row r="59">
      <c r="A59" s="8" t="s">
        <v>118</v>
      </c>
      <c r="B59" s="5" t="s">
        <v>88</v>
      </c>
      <c r="C59" s="9">
        <v>0.539</v>
      </c>
      <c r="D59" s="7">
        <v>4.9</v>
      </c>
      <c r="E59" s="7">
        <f>+2.8</f>
        <v>2.8</v>
      </c>
    </row>
    <row r="60">
      <c r="A60" s="8" t="s">
        <v>48</v>
      </c>
      <c r="B60" s="5" t="s">
        <v>88</v>
      </c>
      <c r="C60" s="9">
        <v>0.539</v>
      </c>
      <c r="D60" s="7">
        <v>9.8</v>
      </c>
      <c r="E60" s="7">
        <f>+1</f>
        <v>1</v>
      </c>
    </row>
    <row r="61">
      <c r="A61" s="8" t="s">
        <v>123</v>
      </c>
      <c r="B61" s="5" t="s">
        <v>88</v>
      </c>
      <c r="C61" s="9">
        <v>0.539</v>
      </c>
      <c r="D61" s="7">
        <v>2.8</v>
      </c>
      <c r="E61" s="7">
        <v>-1.5</v>
      </c>
    </row>
    <row r="62">
      <c r="A62" s="8" t="s">
        <v>126</v>
      </c>
      <c r="B62" s="5" t="s">
        <v>88</v>
      </c>
      <c r="C62" s="9">
        <v>0.539</v>
      </c>
      <c r="D62" s="7">
        <v>1.5</v>
      </c>
      <c r="E62" s="7">
        <v>-4.0</v>
      </c>
    </row>
    <row r="63">
      <c r="A63" s="8" t="s">
        <v>76</v>
      </c>
      <c r="B63" s="5" t="s">
        <v>88</v>
      </c>
      <c r="C63" s="9">
        <v>0.539</v>
      </c>
      <c r="D63" s="7">
        <v>2.4</v>
      </c>
      <c r="E63" s="7">
        <f>+4.3</f>
        <v>4.3</v>
      </c>
    </row>
    <row r="64">
      <c r="A64" s="8" t="s">
        <v>113</v>
      </c>
      <c r="B64" s="5" t="s">
        <v>88</v>
      </c>
      <c r="C64" s="9">
        <v>0.539</v>
      </c>
      <c r="D64" s="7">
        <v>-2.2</v>
      </c>
      <c r="E64" s="7">
        <v>-1.2</v>
      </c>
    </row>
    <row r="65">
      <c r="A65" s="8" t="s">
        <v>156</v>
      </c>
      <c r="B65" s="5" t="s">
        <v>88</v>
      </c>
      <c r="C65" s="9">
        <v>0.539</v>
      </c>
      <c r="D65" s="7">
        <v>5.9</v>
      </c>
      <c r="E65" s="7">
        <v>-1.3</v>
      </c>
    </row>
    <row r="66">
      <c r="A66" s="8" t="s">
        <v>60</v>
      </c>
      <c r="B66" s="5" t="s">
        <v>88</v>
      </c>
      <c r="C66" s="9">
        <v>0.539</v>
      </c>
      <c r="D66" s="7">
        <v>0.5</v>
      </c>
      <c r="E66" s="7">
        <v>-5.7</v>
      </c>
    </row>
    <row r="67">
      <c r="A67" s="8" t="s">
        <v>37</v>
      </c>
      <c r="B67" s="5" t="s">
        <v>88</v>
      </c>
      <c r="C67" s="9">
        <v>0.539</v>
      </c>
      <c r="D67" s="7">
        <v>-3.5</v>
      </c>
      <c r="E67" s="7">
        <v>-8.5</v>
      </c>
    </row>
    <row r="68">
      <c r="A68" s="8" t="s">
        <v>16</v>
      </c>
      <c r="B68" s="5" t="s">
        <v>88</v>
      </c>
      <c r="C68" s="9">
        <v>0.539</v>
      </c>
      <c r="D68" s="7">
        <v>-0.7</v>
      </c>
      <c r="E68" s="4">
        <f>+1.5</f>
        <v>1.5</v>
      </c>
    </row>
    <row r="69">
      <c r="A69" s="8" t="s">
        <v>19</v>
      </c>
      <c r="B69" s="5" t="s">
        <v>88</v>
      </c>
      <c r="C69" s="9">
        <v>0.539</v>
      </c>
      <c r="D69" s="7">
        <v>5.8</v>
      </c>
      <c r="E69" s="4">
        <f>+4.4</f>
        <v>4.4</v>
      </c>
    </row>
    <row r="70">
      <c r="A70" s="8" t="s">
        <v>39</v>
      </c>
      <c r="B70" s="5" t="s">
        <v>88</v>
      </c>
      <c r="C70" s="9">
        <v>0.539</v>
      </c>
      <c r="D70" s="7">
        <v>-1.5</v>
      </c>
      <c r="E70" s="7">
        <v>-7.9</v>
      </c>
    </row>
    <row r="71">
      <c r="A71" s="8" t="s">
        <v>64</v>
      </c>
      <c r="B71" s="5" t="s">
        <v>88</v>
      </c>
      <c r="C71" s="9">
        <v>0.539</v>
      </c>
      <c r="D71" s="7">
        <v>4.4</v>
      </c>
      <c r="E71" s="7">
        <f>+3.6</f>
        <v>3.6</v>
      </c>
    </row>
    <row r="72">
      <c r="A72" s="8" t="s">
        <v>80</v>
      </c>
      <c r="B72" s="5" t="s">
        <v>88</v>
      </c>
      <c r="C72" s="9">
        <v>0.539</v>
      </c>
      <c r="D72" s="7">
        <v>1.2</v>
      </c>
      <c r="E72" s="7">
        <v>-1.8</v>
      </c>
    </row>
    <row r="73">
      <c r="A73" s="8" t="s">
        <v>25</v>
      </c>
      <c r="B73" s="5" t="s">
        <v>88</v>
      </c>
      <c r="C73" s="9">
        <v>0.539</v>
      </c>
      <c r="D73" s="7">
        <v>9.3</v>
      </c>
      <c r="E73" s="7">
        <v>-3.6</v>
      </c>
    </row>
    <row r="74">
      <c r="A74" s="8" t="s">
        <v>65</v>
      </c>
      <c r="B74" s="5" t="s">
        <v>88</v>
      </c>
      <c r="C74" s="9">
        <v>0.539</v>
      </c>
      <c r="D74" s="7">
        <v>-0.5</v>
      </c>
      <c r="E74" s="7">
        <f>+1.1</f>
        <v>1.1</v>
      </c>
    </row>
    <row r="75">
      <c r="A75" s="8" t="s">
        <v>42</v>
      </c>
      <c r="B75" s="5" t="s">
        <v>88</v>
      </c>
      <c r="C75" s="9">
        <v>0.539</v>
      </c>
      <c r="D75" s="7">
        <v>4.3</v>
      </c>
      <c r="E75" s="7">
        <v>-0.6</v>
      </c>
    </row>
    <row r="76">
      <c r="A76" s="8" t="s">
        <v>87</v>
      </c>
      <c r="B76" s="5" t="s">
        <v>90</v>
      </c>
      <c r="C76" s="9">
        <v>0.5</v>
      </c>
      <c r="D76" s="7">
        <v>2.6</v>
      </c>
      <c r="E76" s="7">
        <f>+3.4</f>
        <v>3.4</v>
      </c>
    </row>
    <row r="77">
      <c r="A77" s="8" t="s">
        <v>143</v>
      </c>
      <c r="B77" s="5" t="s">
        <v>90</v>
      </c>
      <c r="C77" s="9">
        <v>0.5</v>
      </c>
      <c r="D77" s="7">
        <v>-5.2</v>
      </c>
      <c r="E77" s="7">
        <v>-2.2</v>
      </c>
    </row>
    <row r="78">
      <c r="A78" s="8" t="s">
        <v>93</v>
      </c>
      <c r="B78" s="5" t="s">
        <v>347</v>
      </c>
      <c r="C78" s="9">
        <v>0.5</v>
      </c>
      <c r="D78" s="7">
        <v>-2.3</v>
      </c>
      <c r="E78" s="7">
        <f>+3.4</f>
        <v>3.4</v>
      </c>
    </row>
    <row r="79">
      <c r="A79" s="8" t="s">
        <v>130</v>
      </c>
      <c r="B79" s="5" t="s">
        <v>90</v>
      </c>
      <c r="C79" s="9">
        <v>0.5</v>
      </c>
      <c r="D79" s="7">
        <v>-1.3</v>
      </c>
      <c r="E79" s="7">
        <v>0.0</v>
      </c>
    </row>
    <row r="80">
      <c r="A80" s="8" t="s">
        <v>66</v>
      </c>
      <c r="B80" s="5" t="s">
        <v>347</v>
      </c>
      <c r="C80" s="9">
        <v>0.5</v>
      </c>
      <c r="D80" s="7">
        <v>-2.1</v>
      </c>
      <c r="E80" s="7">
        <f>+1.8</f>
        <v>1.8</v>
      </c>
    </row>
    <row r="81">
      <c r="A81" s="8" t="s">
        <v>136</v>
      </c>
      <c r="B81" s="5" t="s">
        <v>90</v>
      </c>
      <c r="C81" s="9">
        <v>0.5</v>
      </c>
      <c r="D81" s="7">
        <v>-3.6</v>
      </c>
      <c r="E81" s="7">
        <f>+0.3</f>
        <v>0.3</v>
      </c>
    </row>
    <row r="82">
      <c r="A82" s="8" t="s">
        <v>22</v>
      </c>
      <c r="B82" s="5" t="s">
        <v>261</v>
      </c>
      <c r="C82" s="9">
        <v>0.462</v>
      </c>
      <c r="D82" s="7">
        <v>1.8</v>
      </c>
      <c r="E82" s="7">
        <f>+3.6</f>
        <v>3.6</v>
      </c>
    </row>
    <row r="83">
      <c r="A83" s="8" t="s">
        <v>151</v>
      </c>
      <c r="B83" s="5" t="s">
        <v>261</v>
      </c>
      <c r="C83" s="9">
        <v>0.462</v>
      </c>
      <c r="D83" s="7">
        <v>0.5</v>
      </c>
      <c r="E83" s="7">
        <v>-1.3</v>
      </c>
    </row>
    <row r="84">
      <c r="A84" s="8" t="s">
        <v>146</v>
      </c>
      <c r="B84" s="5" t="s">
        <v>261</v>
      </c>
      <c r="C84" s="9">
        <v>0.462</v>
      </c>
      <c r="D84" s="7">
        <v>-1.2</v>
      </c>
      <c r="E84" s="7">
        <v>-4.2</v>
      </c>
    </row>
    <row r="85">
      <c r="A85" s="8" t="s">
        <v>51</v>
      </c>
      <c r="B85" s="5" t="s">
        <v>103</v>
      </c>
      <c r="C85" s="9">
        <v>0.417</v>
      </c>
      <c r="D85" s="7">
        <v>-4.8</v>
      </c>
      <c r="E85" s="7">
        <f>+1</f>
        <v>1</v>
      </c>
    </row>
    <row r="86">
      <c r="A86" s="8" t="s">
        <v>54</v>
      </c>
      <c r="B86" s="5" t="s">
        <v>103</v>
      </c>
      <c r="C86" s="9">
        <v>0.417</v>
      </c>
      <c r="D86" s="7">
        <v>-5.2</v>
      </c>
      <c r="E86" s="7">
        <v>-3.6</v>
      </c>
    </row>
    <row r="87">
      <c r="A87" s="8" t="s">
        <v>12</v>
      </c>
      <c r="B87" s="5" t="s">
        <v>103</v>
      </c>
      <c r="C87" s="9">
        <v>0.417</v>
      </c>
      <c r="D87" s="7">
        <v>-2.3</v>
      </c>
      <c r="E87" s="7">
        <v>-4.2</v>
      </c>
    </row>
    <row r="88">
      <c r="A88" s="8" t="s">
        <v>5</v>
      </c>
      <c r="B88" s="5" t="s">
        <v>103</v>
      </c>
      <c r="C88" s="9">
        <v>0.417</v>
      </c>
      <c r="D88" s="7">
        <v>-3.5</v>
      </c>
      <c r="E88" s="7">
        <v>-1.0</v>
      </c>
    </row>
    <row r="89">
      <c r="A89" s="8" t="s">
        <v>92</v>
      </c>
      <c r="B89" s="5" t="s">
        <v>103</v>
      </c>
      <c r="C89" s="9">
        <v>0.417</v>
      </c>
      <c r="D89" s="7">
        <v>-2.9</v>
      </c>
      <c r="E89" s="7">
        <f>+0.4</f>
        <v>0.4</v>
      </c>
    </row>
    <row r="90">
      <c r="A90" s="8" t="s">
        <v>142</v>
      </c>
      <c r="B90" s="5" t="s">
        <v>103</v>
      </c>
      <c r="C90" s="9">
        <v>0.417</v>
      </c>
      <c r="D90" s="7">
        <v>-0.2</v>
      </c>
      <c r="E90" s="7">
        <v>-2.5</v>
      </c>
    </row>
    <row r="91">
      <c r="A91" s="8" t="s">
        <v>10</v>
      </c>
      <c r="B91" s="5" t="s">
        <v>103</v>
      </c>
      <c r="C91" s="9">
        <v>0.417</v>
      </c>
      <c r="D91" s="7">
        <v>6.3</v>
      </c>
      <c r="E91" s="7">
        <f t="shared" ref="E91:E92" si="1">+3.8</f>
        <v>3.8</v>
      </c>
    </row>
    <row r="92">
      <c r="A92" s="8" t="s">
        <v>129</v>
      </c>
      <c r="B92" s="5" t="s">
        <v>103</v>
      </c>
      <c r="C92" s="9">
        <v>0.417</v>
      </c>
      <c r="D92" s="7">
        <v>4.5</v>
      </c>
      <c r="E92" s="7">
        <f t="shared" si="1"/>
        <v>3.8</v>
      </c>
    </row>
    <row r="93">
      <c r="A93" s="8" t="s">
        <v>40</v>
      </c>
      <c r="B93" s="5" t="s">
        <v>103</v>
      </c>
      <c r="C93" s="9">
        <v>0.417</v>
      </c>
      <c r="D93" s="7">
        <v>-1.3</v>
      </c>
      <c r="E93" s="7">
        <v>-0.5</v>
      </c>
    </row>
    <row r="94">
      <c r="A94" s="8" t="s">
        <v>41</v>
      </c>
      <c r="B94" s="5" t="s">
        <v>103</v>
      </c>
      <c r="C94" s="9">
        <v>0.417</v>
      </c>
      <c r="D94" s="7">
        <v>-0.9</v>
      </c>
      <c r="E94" s="7">
        <v>-4.0</v>
      </c>
    </row>
    <row r="95">
      <c r="A95" s="8" t="s">
        <v>114</v>
      </c>
      <c r="B95" s="5" t="s">
        <v>103</v>
      </c>
      <c r="C95" s="9">
        <v>0.417</v>
      </c>
      <c r="D95" s="7">
        <v>-9.6</v>
      </c>
      <c r="E95" s="7">
        <v>-9.3</v>
      </c>
    </row>
    <row r="96">
      <c r="A96" s="8" t="s">
        <v>133</v>
      </c>
      <c r="B96" s="5" t="s">
        <v>103</v>
      </c>
      <c r="C96" s="9">
        <v>0.417</v>
      </c>
      <c r="D96" s="7">
        <v>-0.2</v>
      </c>
      <c r="E96" s="7">
        <v>-0.3</v>
      </c>
    </row>
    <row r="97">
      <c r="A97" s="8" t="s">
        <v>135</v>
      </c>
      <c r="B97" s="5" t="s">
        <v>103</v>
      </c>
      <c r="C97" s="9">
        <v>0.417</v>
      </c>
      <c r="D97" s="7">
        <v>-0.7</v>
      </c>
      <c r="E97" s="7">
        <v>-6.1</v>
      </c>
    </row>
    <row r="98">
      <c r="A98" s="8" t="s">
        <v>100</v>
      </c>
      <c r="B98" s="5" t="s">
        <v>103</v>
      </c>
      <c r="C98" s="9">
        <v>0.417</v>
      </c>
      <c r="D98" s="7">
        <v>-6.5</v>
      </c>
      <c r="E98" s="7">
        <v>-2.9</v>
      </c>
    </row>
    <row r="99">
      <c r="A99" s="8" t="s">
        <v>159</v>
      </c>
      <c r="B99" s="5" t="s">
        <v>103</v>
      </c>
      <c r="C99" s="9">
        <v>0.417</v>
      </c>
      <c r="D99" s="7">
        <v>-4.9</v>
      </c>
      <c r="E99" s="7">
        <f>+4.1</f>
        <v>4.1</v>
      </c>
    </row>
    <row r="100">
      <c r="A100" s="8" t="s">
        <v>120</v>
      </c>
      <c r="B100" s="5" t="s">
        <v>119</v>
      </c>
      <c r="C100" s="9">
        <v>0.333</v>
      </c>
      <c r="D100" s="7">
        <v>-8.3</v>
      </c>
      <c r="E100" s="7">
        <v>-1.4</v>
      </c>
    </row>
    <row r="101">
      <c r="A101" s="8" t="s">
        <v>102</v>
      </c>
      <c r="B101" s="5" t="s">
        <v>119</v>
      </c>
      <c r="C101" s="9">
        <v>0.333</v>
      </c>
      <c r="D101" s="7">
        <v>-8.3</v>
      </c>
      <c r="E101" s="7">
        <v>-3.3</v>
      </c>
    </row>
    <row r="102">
      <c r="A102" s="8" t="s">
        <v>55</v>
      </c>
      <c r="B102" s="5" t="s">
        <v>119</v>
      </c>
      <c r="C102" s="9">
        <v>0.333</v>
      </c>
      <c r="D102" s="7">
        <v>-13.4</v>
      </c>
      <c r="E102" s="7">
        <v>-3.7</v>
      </c>
    </row>
    <row r="103">
      <c r="A103" s="8" t="s">
        <v>77</v>
      </c>
      <c r="B103" s="5" t="s">
        <v>119</v>
      </c>
      <c r="C103" s="9">
        <v>0.333</v>
      </c>
      <c r="D103" s="7">
        <v>-1.3</v>
      </c>
      <c r="E103" s="7">
        <v>-2.5</v>
      </c>
    </row>
    <row r="104">
      <c r="A104" s="8" t="s">
        <v>30</v>
      </c>
      <c r="B104" s="5" t="s">
        <v>119</v>
      </c>
      <c r="C104" s="9">
        <v>0.333</v>
      </c>
      <c r="D104" s="7">
        <v>-8.5</v>
      </c>
      <c r="E104" s="7">
        <v>-1.6</v>
      </c>
    </row>
    <row r="105">
      <c r="A105" s="8" t="s">
        <v>160</v>
      </c>
      <c r="B105" s="5" t="s">
        <v>119</v>
      </c>
      <c r="C105" s="9">
        <v>0.333</v>
      </c>
      <c r="D105" s="7">
        <v>-10.1</v>
      </c>
      <c r="E105" s="7">
        <v>-3.8</v>
      </c>
    </row>
    <row r="106">
      <c r="A106" s="8" t="s">
        <v>44</v>
      </c>
      <c r="B106" s="5" t="s">
        <v>119</v>
      </c>
      <c r="C106" s="9">
        <v>0.333</v>
      </c>
      <c r="D106" s="7">
        <v>-5.1</v>
      </c>
      <c r="E106" s="7">
        <v>-2.3</v>
      </c>
    </row>
    <row r="107">
      <c r="A107" s="8" t="s">
        <v>121</v>
      </c>
      <c r="B107" s="5" t="s">
        <v>139</v>
      </c>
      <c r="C107" s="9">
        <v>0.25</v>
      </c>
      <c r="D107" s="7">
        <v>-15.7</v>
      </c>
      <c r="E107" s="7">
        <v>-3.0</v>
      </c>
    </row>
    <row r="108">
      <c r="A108" s="8" t="s">
        <v>122</v>
      </c>
      <c r="B108" s="5" t="s">
        <v>139</v>
      </c>
      <c r="C108" s="9">
        <v>0.25</v>
      </c>
      <c r="D108" s="7">
        <v>-5.5</v>
      </c>
      <c r="E108" s="7">
        <v>-0.8</v>
      </c>
    </row>
    <row r="109">
      <c r="A109" s="8" t="s">
        <v>112</v>
      </c>
      <c r="B109" s="5" t="s">
        <v>139</v>
      </c>
      <c r="C109" s="9">
        <v>0.25</v>
      </c>
      <c r="D109" s="7">
        <v>-6.2</v>
      </c>
      <c r="E109" s="7">
        <f>+6.7</f>
        <v>6.7</v>
      </c>
    </row>
    <row r="110">
      <c r="A110" s="8" t="s">
        <v>59</v>
      </c>
      <c r="B110" s="5" t="s">
        <v>139</v>
      </c>
      <c r="C110" s="9">
        <v>0.25</v>
      </c>
      <c r="D110" s="7">
        <v>-14.6</v>
      </c>
      <c r="E110" s="7">
        <v>-5.6</v>
      </c>
    </row>
    <row r="111">
      <c r="A111" s="8" t="s">
        <v>128</v>
      </c>
      <c r="B111" s="5" t="s">
        <v>139</v>
      </c>
      <c r="C111" s="9">
        <v>0.25</v>
      </c>
      <c r="D111" s="7">
        <v>-16.1</v>
      </c>
      <c r="E111" s="7">
        <v>-8.7</v>
      </c>
    </row>
    <row r="112">
      <c r="A112" s="8" t="s">
        <v>38</v>
      </c>
      <c r="B112" s="5" t="s">
        <v>139</v>
      </c>
      <c r="C112" s="9">
        <v>0.25</v>
      </c>
      <c r="D112" s="7">
        <v>-9.6</v>
      </c>
      <c r="E112" s="7">
        <v>-2.3</v>
      </c>
    </row>
    <row r="113">
      <c r="A113" s="8" t="s">
        <v>152</v>
      </c>
      <c r="B113" s="5" t="s">
        <v>139</v>
      </c>
      <c r="C113" s="9">
        <v>0.25</v>
      </c>
      <c r="D113" s="7">
        <v>-13.9</v>
      </c>
      <c r="E113" s="7">
        <v>-5.4</v>
      </c>
    </row>
    <row r="114">
      <c r="A114" s="8" t="s">
        <v>145</v>
      </c>
      <c r="B114" s="5" t="s">
        <v>139</v>
      </c>
      <c r="C114" s="9">
        <v>0.25</v>
      </c>
      <c r="D114" s="7">
        <v>-9.5</v>
      </c>
      <c r="E114" s="7">
        <v>-2.1</v>
      </c>
    </row>
    <row r="115">
      <c r="A115" s="8" t="s">
        <v>98</v>
      </c>
      <c r="B115" s="5" t="s">
        <v>139</v>
      </c>
      <c r="C115" s="9">
        <v>0.25</v>
      </c>
      <c r="D115" s="7">
        <v>-7.9</v>
      </c>
      <c r="E115" s="7">
        <v>-0.3</v>
      </c>
    </row>
    <row r="116">
      <c r="A116" s="8" t="s">
        <v>67</v>
      </c>
      <c r="B116" s="5" t="s">
        <v>139</v>
      </c>
      <c r="C116" s="9">
        <v>0.25</v>
      </c>
      <c r="D116" s="7">
        <v>-6.8</v>
      </c>
      <c r="E116" s="7">
        <v>0.0</v>
      </c>
    </row>
    <row r="117">
      <c r="A117" s="8" t="s">
        <v>137</v>
      </c>
      <c r="B117" s="5" t="s">
        <v>139</v>
      </c>
      <c r="C117" s="9">
        <v>0.25</v>
      </c>
      <c r="D117" s="7">
        <v>-14.6</v>
      </c>
      <c r="E117" s="7">
        <v>-4.2</v>
      </c>
    </row>
    <row r="118">
      <c r="A118" s="8" t="s">
        <v>101</v>
      </c>
      <c r="B118" s="5" t="s">
        <v>139</v>
      </c>
      <c r="C118" s="9">
        <v>0.25</v>
      </c>
      <c r="D118" s="7">
        <v>-17.0</v>
      </c>
      <c r="E118" s="7">
        <v>-4.3</v>
      </c>
    </row>
    <row r="119">
      <c r="A119" s="8" t="s">
        <v>26</v>
      </c>
      <c r="B119" s="5" t="s">
        <v>325</v>
      </c>
      <c r="C119" s="9">
        <v>0.231</v>
      </c>
      <c r="D119" s="7">
        <v>-8.5</v>
      </c>
      <c r="E119" s="7">
        <v>-5.9</v>
      </c>
    </row>
    <row r="120">
      <c r="A120" s="8" t="s">
        <v>132</v>
      </c>
      <c r="B120" s="5" t="s">
        <v>386</v>
      </c>
      <c r="C120" s="9">
        <v>0.182</v>
      </c>
      <c r="D120" s="7">
        <v>-7.2</v>
      </c>
      <c r="E120" s="7">
        <v>-4.9</v>
      </c>
    </row>
    <row r="121">
      <c r="A121" s="8" t="s">
        <v>107</v>
      </c>
      <c r="B121" s="5" t="s">
        <v>149</v>
      </c>
      <c r="C121" s="9">
        <v>0.167</v>
      </c>
      <c r="D121" s="7">
        <v>-12.8</v>
      </c>
      <c r="E121" s="7">
        <v>-0.5</v>
      </c>
    </row>
    <row r="122">
      <c r="A122" s="8" t="s">
        <v>150</v>
      </c>
      <c r="B122" s="5" t="s">
        <v>149</v>
      </c>
      <c r="C122" s="9">
        <v>0.167</v>
      </c>
      <c r="D122" s="7">
        <v>-13.1</v>
      </c>
      <c r="E122" s="7">
        <v>-5.8</v>
      </c>
    </row>
    <row r="123">
      <c r="A123" s="8" t="s">
        <v>62</v>
      </c>
      <c r="B123" s="5" t="s">
        <v>149</v>
      </c>
      <c r="C123" s="9">
        <v>0.167</v>
      </c>
      <c r="D123" s="7">
        <v>-24.3</v>
      </c>
      <c r="E123" s="7">
        <v>-18.3</v>
      </c>
    </row>
    <row r="124">
      <c r="A124" s="8" t="s">
        <v>153</v>
      </c>
      <c r="B124" s="5" t="s">
        <v>149</v>
      </c>
      <c r="C124" s="9">
        <v>0.167</v>
      </c>
      <c r="D124" s="7">
        <v>-19.6</v>
      </c>
      <c r="E124" s="7">
        <v>-3.2</v>
      </c>
    </row>
    <row r="125">
      <c r="A125" s="8" t="s">
        <v>158</v>
      </c>
      <c r="B125" s="5" t="s">
        <v>149</v>
      </c>
      <c r="C125" s="9">
        <v>0.167</v>
      </c>
      <c r="D125" s="7">
        <v>-13.5</v>
      </c>
      <c r="E125" s="7">
        <v>-1.6</v>
      </c>
    </row>
    <row r="126">
      <c r="A126" s="8" t="s">
        <v>108</v>
      </c>
      <c r="B126" s="5" t="s">
        <v>396</v>
      </c>
      <c r="C126" s="9">
        <v>0.154</v>
      </c>
      <c r="D126" s="7">
        <v>-17.1</v>
      </c>
      <c r="E126" s="7">
        <v>-1.4</v>
      </c>
    </row>
    <row r="127">
      <c r="A127" s="8" t="s">
        <v>72</v>
      </c>
      <c r="B127" s="5" t="s">
        <v>157</v>
      </c>
      <c r="C127" s="9">
        <v>0.083</v>
      </c>
      <c r="D127" s="7">
        <v>-12.3</v>
      </c>
      <c r="E127" s="7">
        <v>-4.9</v>
      </c>
    </row>
    <row r="128">
      <c r="A128" s="8" t="s">
        <v>141</v>
      </c>
      <c r="B128" s="5" t="s">
        <v>157</v>
      </c>
      <c r="C128" s="9">
        <v>0.083</v>
      </c>
      <c r="D128" s="7">
        <v>-15.3</v>
      </c>
      <c r="E128" s="7">
        <f>+2.8</f>
        <v>2.8</v>
      </c>
    </row>
    <row r="129">
      <c r="A129" s="8" t="s">
        <v>148</v>
      </c>
      <c r="B129" s="5" t="s">
        <v>157</v>
      </c>
      <c r="C129" s="9">
        <v>0.083</v>
      </c>
      <c r="D129" s="7">
        <v>-15.1</v>
      </c>
      <c r="E129" s="7">
        <v>-0.8</v>
      </c>
    </row>
    <row r="130">
      <c r="A130" s="8" t="s">
        <v>116</v>
      </c>
      <c r="B130" s="5" t="s">
        <v>157</v>
      </c>
      <c r="C130" s="9">
        <v>0.083</v>
      </c>
      <c r="D130" s="7">
        <v>-17.9</v>
      </c>
      <c r="E130" s="7">
        <v>-0.8</v>
      </c>
    </row>
    <row r="131">
      <c r="A131" s="8" t="s">
        <v>43</v>
      </c>
      <c r="B131" s="5" t="s">
        <v>157</v>
      </c>
      <c r="C131" s="9">
        <v>0.083</v>
      </c>
      <c r="D131" s="7">
        <v>-28.3</v>
      </c>
      <c r="E131" s="7">
        <v>-7.4</v>
      </c>
    </row>
    <row r="132">
      <c r="A132" s="8" t="s">
        <v>11</v>
      </c>
      <c r="B132" s="5" t="s">
        <v>338</v>
      </c>
      <c r="C132" s="9">
        <v>0.0</v>
      </c>
      <c r="D132" s="7">
        <v>-11.0</v>
      </c>
      <c r="E132" s="4">
        <f>+3.5</f>
        <v>3.5</v>
      </c>
    </row>
    <row r="133">
      <c r="A133" s="8" t="s">
        <v>84</v>
      </c>
      <c r="B133" s="5" t="s">
        <v>338</v>
      </c>
      <c r="C133" s="9">
        <v>0.0</v>
      </c>
      <c r="D133" s="7">
        <v>-41.0</v>
      </c>
      <c r="E133" s="7">
        <f>+3</f>
        <v>3</v>
      </c>
    </row>
    <row r="134">
      <c r="A134" s="8" t="s">
        <v>32</v>
      </c>
      <c r="B134" s="5" t="s">
        <v>338</v>
      </c>
      <c r="C134" s="9">
        <v>0.0</v>
      </c>
      <c r="D134" s="7">
        <v>-4.0</v>
      </c>
      <c r="E134" s="7">
        <v>-2.0</v>
      </c>
    </row>
    <row r="135">
      <c r="A135" s="10" t="s">
        <v>397</v>
      </c>
      <c r="B135" s="11" t="s">
        <v>338</v>
      </c>
      <c r="C135" s="12">
        <v>0.0</v>
      </c>
      <c r="D135" s="13">
        <v>-52.0</v>
      </c>
      <c r="E135" s="13">
        <v>-20.5</v>
      </c>
    </row>
    <row r="136">
      <c r="A136" s="10" t="s">
        <v>398</v>
      </c>
      <c r="B136" s="11" t="s">
        <v>338</v>
      </c>
      <c r="C136" s="12">
        <v>0.0</v>
      </c>
      <c r="D136" s="13">
        <v>-3.0</v>
      </c>
      <c r="E136" s="1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106</v>
      </c>
      <c r="B2" s="5" t="s">
        <v>6</v>
      </c>
      <c r="C2" s="9">
        <v>1.0</v>
      </c>
      <c r="D2" s="7">
        <v>22.9</v>
      </c>
      <c r="E2" s="4">
        <f>+8.1</f>
        <v>8.1</v>
      </c>
    </row>
    <row r="3">
      <c r="A3" s="8" t="s">
        <v>11</v>
      </c>
      <c r="B3" s="5" t="s">
        <v>344</v>
      </c>
      <c r="C3" s="9">
        <v>1.0</v>
      </c>
      <c r="D3" s="7">
        <v>20.0</v>
      </c>
      <c r="E3" s="4">
        <f>+17.5</f>
        <v>17.5</v>
      </c>
    </row>
    <row r="4">
      <c r="A4" s="8" t="s">
        <v>136</v>
      </c>
      <c r="B4" s="5" t="s">
        <v>344</v>
      </c>
      <c r="C4" s="9">
        <v>1.0</v>
      </c>
      <c r="D4" s="7">
        <v>3.0</v>
      </c>
      <c r="E4" s="7">
        <f>+36.5</f>
        <v>36.5</v>
      </c>
    </row>
    <row r="5">
      <c r="A5" s="8" t="s">
        <v>28</v>
      </c>
      <c r="B5" s="5" t="s">
        <v>162</v>
      </c>
      <c r="C5" s="9">
        <v>0.929</v>
      </c>
      <c r="D5" s="7">
        <v>25.1</v>
      </c>
      <c r="E5" s="4">
        <f>+1.9</f>
        <v>1.9</v>
      </c>
    </row>
    <row r="6">
      <c r="A6" s="8" t="s">
        <v>125</v>
      </c>
      <c r="B6" s="5" t="s">
        <v>162</v>
      </c>
      <c r="C6" s="9">
        <v>0.929</v>
      </c>
      <c r="D6" s="7">
        <v>19.9</v>
      </c>
      <c r="E6" s="7">
        <f>+3.8</f>
        <v>3.8</v>
      </c>
    </row>
    <row r="7">
      <c r="A7" s="8" t="s">
        <v>7</v>
      </c>
      <c r="B7" s="5" t="s">
        <v>345</v>
      </c>
      <c r="C7" s="9">
        <v>0.867</v>
      </c>
      <c r="D7" s="7">
        <v>19.0</v>
      </c>
      <c r="E7" s="4">
        <f>+7.5</f>
        <v>7.5</v>
      </c>
    </row>
    <row r="8">
      <c r="A8" s="8" t="s">
        <v>9</v>
      </c>
      <c r="B8" s="5" t="s">
        <v>170</v>
      </c>
      <c r="C8" s="9">
        <v>0.857</v>
      </c>
      <c r="D8" s="7">
        <v>22.1</v>
      </c>
      <c r="E8" s="7">
        <f>+1.1</f>
        <v>1.1</v>
      </c>
    </row>
    <row r="9">
      <c r="A9" s="8" t="s">
        <v>23</v>
      </c>
      <c r="B9" s="5" t="s">
        <v>170</v>
      </c>
      <c r="C9" s="9">
        <v>0.857</v>
      </c>
      <c r="D9" s="7">
        <v>18.1</v>
      </c>
      <c r="E9" s="4">
        <f>+0.9</f>
        <v>0.9</v>
      </c>
    </row>
    <row r="10">
      <c r="A10" s="8" t="s">
        <v>81</v>
      </c>
      <c r="B10" s="5" t="s">
        <v>170</v>
      </c>
      <c r="C10" s="9">
        <v>0.857</v>
      </c>
      <c r="D10" s="7">
        <v>19.7</v>
      </c>
      <c r="E10" s="4">
        <f>+2.5</f>
        <v>2.5</v>
      </c>
    </row>
    <row r="11">
      <c r="A11" s="8" t="s">
        <v>91</v>
      </c>
      <c r="B11" s="5" t="s">
        <v>17</v>
      </c>
      <c r="C11" s="9">
        <v>0.846</v>
      </c>
      <c r="D11" s="7">
        <v>24.6</v>
      </c>
      <c r="E11" s="4">
        <f>+7</f>
        <v>7</v>
      </c>
    </row>
    <row r="12">
      <c r="A12" s="8" t="s">
        <v>68</v>
      </c>
      <c r="B12" s="5" t="s">
        <v>17</v>
      </c>
      <c r="C12" s="9">
        <v>0.846</v>
      </c>
      <c r="D12" s="7">
        <v>13.1</v>
      </c>
      <c r="E12" s="4">
        <f>+1.4</f>
        <v>1.4</v>
      </c>
    </row>
    <row r="13">
      <c r="A13" s="8" t="s">
        <v>37</v>
      </c>
      <c r="B13" s="5" t="s">
        <v>21</v>
      </c>
      <c r="C13" s="9">
        <v>0.833</v>
      </c>
      <c r="D13" s="7">
        <v>14.8</v>
      </c>
      <c r="E13" s="7">
        <v>-1.6</v>
      </c>
    </row>
    <row r="14">
      <c r="A14" s="8" t="s">
        <v>48</v>
      </c>
      <c r="B14" s="5" t="s">
        <v>182</v>
      </c>
      <c r="C14" s="9">
        <v>0.786</v>
      </c>
      <c r="D14" s="7">
        <v>10.1</v>
      </c>
      <c r="E14" s="7">
        <v>-2.7</v>
      </c>
    </row>
    <row r="15">
      <c r="A15" s="8" t="s">
        <v>47</v>
      </c>
      <c r="B15" s="5" t="s">
        <v>182</v>
      </c>
      <c r="C15" s="9">
        <v>0.786</v>
      </c>
      <c r="D15" s="7">
        <v>9.6</v>
      </c>
      <c r="E15" s="7">
        <f>+1.4</f>
        <v>1.4</v>
      </c>
    </row>
    <row r="16">
      <c r="A16" s="8" t="s">
        <v>60</v>
      </c>
      <c r="B16" s="5" t="s">
        <v>182</v>
      </c>
      <c r="C16" s="9">
        <v>0.786</v>
      </c>
      <c r="D16" s="7">
        <v>14.6</v>
      </c>
      <c r="E16" s="4">
        <f>+2.3</f>
        <v>2.3</v>
      </c>
    </row>
    <row r="17">
      <c r="A17" s="8" t="s">
        <v>41</v>
      </c>
      <c r="B17" s="5" t="s">
        <v>182</v>
      </c>
      <c r="C17" s="9">
        <v>0.786</v>
      </c>
      <c r="D17" s="7">
        <v>6.4</v>
      </c>
      <c r="E17" s="7">
        <v>-4.1</v>
      </c>
    </row>
    <row r="18">
      <c r="A18" s="8" t="s">
        <v>135</v>
      </c>
      <c r="B18" s="5" t="s">
        <v>182</v>
      </c>
      <c r="C18" s="9">
        <v>0.786</v>
      </c>
      <c r="D18" s="7">
        <v>17.9</v>
      </c>
      <c r="E18" s="4">
        <f>+12.5</f>
        <v>12.5</v>
      </c>
    </row>
    <row r="19">
      <c r="A19" s="8" t="s">
        <v>20</v>
      </c>
      <c r="B19" s="5" t="s">
        <v>29</v>
      </c>
      <c r="C19" s="9">
        <v>0.769</v>
      </c>
      <c r="D19" s="7">
        <v>12.8</v>
      </c>
      <c r="E19" s="4">
        <f>+3</f>
        <v>3</v>
      </c>
    </row>
    <row r="20">
      <c r="A20" s="8" t="s">
        <v>89</v>
      </c>
      <c r="B20" s="5" t="s">
        <v>29</v>
      </c>
      <c r="C20" s="9">
        <v>0.769</v>
      </c>
      <c r="D20" s="7">
        <v>9.2</v>
      </c>
      <c r="E20" s="7">
        <f>+4.6</f>
        <v>4.6</v>
      </c>
    </row>
    <row r="21">
      <c r="A21" s="8" t="s">
        <v>126</v>
      </c>
      <c r="B21" s="5" t="s">
        <v>29</v>
      </c>
      <c r="C21" s="9">
        <v>0.769</v>
      </c>
      <c r="D21" s="7">
        <v>4.5</v>
      </c>
      <c r="E21" s="4">
        <f>+2.5</f>
        <v>2.5</v>
      </c>
    </row>
    <row r="22">
      <c r="A22" s="8" t="s">
        <v>156</v>
      </c>
      <c r="B22" s="5" t="s">
        <v>29</v>
      </c>
      <c r="C22" s="9">
        <v>0.769</v>
      </c>
      <c r="D22" s="7">
        <v>15.6</v>
      </c>
      <c r="E22" s="4">
        <f>+0.7</f>
        <v>0.7</v>
      </c>
    </row>
    <row r="23">
      <c r="A23" s="8" t="s">
        <v>61</v>
      </c>
      <c r="B23" s="5" t="s">
        <v>29</v>
      </c>
      <c r="C23" s="9">
        <v>0.769</v>
      </c>
      <c r="D23" s="7">
        <v>13.1</v>
      </c>
      <c r="E23" s="4">
        <f>+3.2</f>
        <v>3.2</v>
      </c>
    </row>
    <row r="24">
      <c r="A24" s="8" t="s">
        <v>85</v>
      </c>
      <c r="B24" s="5" t="s">
        <v>29</v>
      </c>
      <c r="C24" s="9">
        <v>0.769</v>
      </c>
      <c r="D24" s="7">
        <v>8.7</v>
      </c>
      <c r="E24" s="4">
        <f>+6.9</f>
        <v>6.9</v>
      </c>
    </row>
    <row r="25">
      <c r="A25" s="8" t="s">
        <v>39</v>
      </c>
      <c r="B25" s="5" t="s">
        <v>29</v>
      </c>
      <c r="C25" s="9">
        <v>0.769</v>
      </c>
      <c r="D25" s="7">
        <v>10.5</v>
      </c>
      <c r="E25" s="7">
        <f>+0.5</f>
        <v>0.5</v>
      </c>
    </row>
    <row r="26">
      <c r="A26" s="8" t="s">
        <v>63</v>
      </c>
      <c r="B26" s="5" t="s">
        <v>29</v>
      </c>
      <c r="C26" s="9">
        <v>0.769</v>
      </c>
      <c r="D26" s="7">
        <v>20.2</v>
      </c>
      <c r="E26" s="7">
        <f>+0.7</f>
        <v>0.7</v>
      </c>
    </row>
    <row r="27">
      <c r="A27" s="8" t="s">
        <v>25</v>
      </c>
      <c r="B27" s="5" t="s">
        <v>29</v>
      </c>
      <c r="C27" s="9">
        <v>0.769</v>
      </c>
      <c r="D27" s="7">
        <v>8.1</v>
      </c>
      <c r="E27" s="7">
        <v>-1.5</v>
      </c>
    </row>
    <row r="28">
      <c r="A28" s="8" t="s">
        <v>53</v>
      </c>
      <c r="B28" s="5" t="s">
        <v>203</v>
      </c>
      <c r="C28" s="9">
        <v>0.714</v>
      </c>
      <c r="D28" s="7">
        <v>9.2</v>
      </c>
      <c r="E28" s="7">
        <f>+9.3</f>
        <v>9.3</v>
      </c>
    </row>
    <row r="29">
      <c r="A29" s="8" t="s">
        <v>110</v>
      </c>
      <c r="B29" s="5" t="s">
        <v>203</v>
      </c>
      <c r="C29" s="9">
        <v>0.714</v>
      </c>
      <c r="D29" s="7">
        <v>15.4</v>
      </c>
      <c r="E29" s="4">
        <f>+1.6</f>
        <v>1.6</v>
      </c>
    </row>
    <row r="30">
      <c r="A30" s="8" t="s">
        <v>50</v>
      </c>
      <c r="B30" s="5" t="s">
        <v>46</v>
      </c>
      <c r="C30" s="9">
        <v>0.692</v>
      </c>
      <c r="D30" s="7">
        <v>14.8</v>
      </c>
      <c r="E30" s="7">
        <f>+6.3</f>
        <v>6.3</v>
      </c>
    </row>
    <row r="31">
      <c r="A31" s="8" t="s">
        <v>123</v>
      </c>
      <c r="B31" s="5" t="s">
        <v>46</v>
      </c>
      <c r="C31" s="9">
        <v>0.692</v>
      </c>
      <c r="D31" s="7">
        <v>3.5</v>
      </c>
      <c r="E31" s="4">
        <f>+5</f>
        <v>5</v>
      </c>
    </row>
    <row r="32">
      <c r="A32" s="8" t="s">
        <v>75</v>
      </c>
      <c r="B32" s="5" t="s">
        <v>46</v>
      </c>
      <c r="C32" s="9">
        <v>0.692</v>
      </c>
      <c r="D32" s="7">
        <v>8.3</v>
      </c>
      <c r="E32" s="7">
        <v>-1.6</v>
      </c>
    </row>
    <row r="33">
      <c r="A33" s="8" t="s">
        <v>111</v>
      </c>
      <c r="B33" s="5" t="s">
        <v>46</v>
      </c>
      <c r="C33" s="9">
        <v>0.692</v>
      </c>
      <c r="D33" s="7">
        <v>11.1</v>
      </c>
      <c r="E33" s="7">
        <f>+3.7</f>
        <v>3.7</v>
      </c>
    </row>
    <row r="34">
      <c r="A34" s="8" t="s">
        <v>96</v>
      </c>
      <c r="B34" s="5" t="s">
        <v>46</v>
      </c>
      <c r="C34" s="9">
        <v>0.692</v>
      </c>
      <c r="D34" s="7">
        <v>4.5</v>
      </c>
      <c r="E34" s="7">
        <v>-3.5</v>
      </c>
    </row>
    <row r="35">
      <c r="A35" s="8" t="s">
        <v>82</v>
      </c>
      <c r="B35" s="5" t="s">
        <v>46</v>
      </c>
      <c r="C35" s="9">
        <v>0.692</v>
      </c>
      <c r="D35" s="7">
        <v>7.0</v>
      </c>
      <c r="E35" s="4">
        <f t="shared" ref="E35:E36" si="1">+0.9</f>
        <v>0.9</v>
      </c>
    </row>
    <row r="36">
      <c r="A36" s="8" t="s">
        <v>146</v>
      </c>
      <c r="B36" s="5" t="s">
        <v>46</v>
      </c>
      <c r="C36" s="9">
        <v>0.692</v>
      </c>
      <c r="D36" s="7">
        <v>13.4</v>
      </c>
      <c r="E36" s="7">
        <f t="shared" si="1"/>
        <v>0.9</v>
      </c>
    </row>
    <row r="37">
      <c r="A37" s="8" t="s">
        <v>117</v>
      </c>
      <c r="B37" s="5" t="s">
        <v>46</v>
      </c>
      <c r="C37" s="9">
        <v>0.692</v>
      </c>
      <c r="D37" s="7">
        <v>13.2</v>
      </c>
      <c r="E37" s="4">
        <f>+2.3</f>
        <v>2.3</v>
      </c>
    </row>
    <row r="38">
      <c r="A38" s="8" t="s">
        <v>18</v>
      </c>
      <c r="B38" s="5" t="s">
        <v>224</v>
      </c>
      <c r="C38" s="9">
        <v>0.643</v>
      </c>
      <c r="D38" s="7">
        <v>0.5</v>
      </c>
      <c r="E38" s="7">
        <v>-0.4</v>
      </c>
    </row>
    <row r="39">
      <c r="A39" s="8" t="s">
        <v>131</v>
      </c>
      <c r="B39" s="5" t="s">
        <v>224</v>
      </c>
      <c r="C39" s="9">
        <v>0.643</v>
      </c>
      <c r="D39" s="7">
        <v>9.6</v>
      </c>
      <c r="E39" s="7">
        <f>+3.5</f>
        <v>3.5</v>
      </c>
    </row>
    <row r="40">
      <c r="A40" s="8" t="s">
        <v>138</v>
      </c>
      <c r="B40" s="5" t="s">
        <v>69</v>
      </c>
      <c r="C40" s="9">
        <v>0.615</v>
      </c>
      <c r="D40" s="7">
        <v>6.9</v>
      </c>
      <c r="E40" s="7">
        <f>+1.2</f>
        <v>1.2</v>
      </c>
    </row>
    <row r="41">
      <c r="A41" s="8" t="s">
        <v>72</v>
      </c>
      <c r="B41" s="5" t="s">
        <v>69</v>
      </c>
      <c r="C41" s="9">
        <v>0.615</v>
      </c>
      <c r="D41" s="7">
        <v>0.9</v>
      </c>
      <c r="E41" s="7">
        <f>+0.5</f>
        <v>0.5</v>
      </c>
    </row>
    <row r="42">
      <c r="A42" s="8" t="s">
        <v>105</v>
      </c>
      <c r="B42" s="5" t="s">
        <v>69</v>
      </c>
      <c r="C42" s="9">
        <v>0.615</v>
      </c>
      <c r="D42" s="7">
        <v>6.8</v>
      </c>
      <c r="E42" s="7">
        <f>+4.5</f>
        <v>4.5</v>
      </c>
    </row>
    <row r="43">
      <c r="A43" s="8" t="s">
        <v>33</v>
      </c>
      <c r="B43" s="5" t="s">
        <v>69</v>
      </c>
      <c r="C43" s="9">
        <v>0.615</v>
      </c>
      <c r="D43" s="7">
        <v>6.4</v>
      </c>
      <c r="E43" s="7">
        <v>-3.6</v>
      </c>
    </row>
    <row r="44">
      <c r="A44" s="8" t="s">
        <v>56</v>
      </c>
      <c r="B44" s="5" t="s">
        <v>69</v>
      </c>
      <c r="C44" s="9">
        <v>0.615</v>
      </c>
      <c r="D44" s="7">
        <v>8.3</v>
      </c>
      <c r="E44" s="7">
        <f>+6.7</f>
        <v>6.7</v>
      </c>
    </row>
    <row r="45">
      <c r="A45" s="8" t="s">
        <v>57</v>
      </c>
      <c r="B45" s="5" t="s">
        <v>69</v>
      </c>
      <c r="C45" s="9">
        <v>0.615</v>
      </c>
      <c r="D45" s="7">
        <v>8.3</v>
      </c>
      <c r="E45" s="7">
        <f>+9.9</f>
        <v>9.9</v>
      </c>
    </row>
    <row r="46">
      <c r="A46" s="8" t="s">
        <v>92</v>
      </c>
      <c r="B46" s="5" t="s">
        <v>69</v>
      </c>
      <c r="C46" s="9">
        <v>0.615</v>
      </c>
      <c r="D46" s="7">
        <v>7.2</v>
      </c>
      <c r="E46" s="7">
        <f>+2.6</f>
        <v>2.6</v>
      </c>
    </row>
    <row r="47">
      <c r="A47" s="8" t="s">
        <v>127</v>
      </c>
      <c r="B47" s="5" t="s">
        <v>69</v>
      </c>
      <c r="C47" s="9">
        <v>0.615</v>
      </c>
      <c r="D47" s="7">
        <v>2.2</v>
      </c>
      <c r="E47" s="7">
        <f>+2.5</f>
        <v>2.5</v>
      </c>
    </row>
    <row r="48">
      <c r="A48" s="8" t="s">
        <v>62</v>
      </c>
      <c r="B48" s="5" t="s">
        <v>69</v>
      </c>
      <c r="C48" s="9">
        <v>0.615</v>
      </c>
      <c r="D48" s="7">
        <v>10.7</v>
      </c>
      <c r="E48" s="7">
        <v>-3.9</v>
      </c>
    </row>
    <row r="49">
      <c r="A49" s="8" t="s">
        <v>79</v>
      </c>
      <c r="B49" s="5" t="s">
        <v>69</v>
      </c>
      <c r="C49" s="9">
        <v>0.615</v>
      </c>
      <c r="D49" s="7">
        <v>4.7</v>
      </c>
      <c r="E49" s="7">
        <v>-0.1</v>
      </c>
    </row>
    <row r="50">
      <c r="A50" s="8" t="s">
        <v>130</v>
      </c>
      <c r="B50" s="5" t="s">
        <v>69</v>
      </c>
      <c r="C50" s="9">
        <v>0.615</v>
      </c>
      <c r="D50" s="7">
        <v>5.9</v>
      </c>
      <c r="E50" s="7">
        <f>+3.3</f>
        <v>3.3</v>
      </c>
    </row>
    <row r="51">
      <c r="A51" s="8" t="s">
        <v>65</v>
      </c>
      <c r="B51" s="5" t="s">
        <v>69</v>
      </c>
      <c r="C51" s="9">
        <v>0.615</v>
      </c>
      <c r="D51" s="7">
        <v>7.0</v>
      </c>
      <c r="E51" s="7">
        <f>+4.5</f>
        <v>4.5</v>
      </c>
    </row>
    <row r="52">
      <c r="A52" s="8" t="s">
        <v>83</v>
      </c>
      <c r="B52" s="5" t="s">
        <v>69</v>
      </c>
      <c r="C52" s="9">
        <v>0.615</v>
      </c>
      <c r="D52" s="7">
        <v>-2.8</v>
      </c>
      <c r="E52" s="7">
        <f>+1</f>
        <v>1</v>
      </c>
    </row>
    <row r="53">
      <c r="A53" s="8" t="s">
        <v>36</v>
      </c>
      <c r="B53" s="5" t="s">
        <v>73</v>
      </c>
      <c r="C53" s="9">
        <v>0.583</v>
      </c>
      <c r="D53" s="7">
        <v>4.4</v>
      </c>
      <c r="E53" s="7">
        <v>-3.8</v>
      </c>
    </row>
    <row r="54">
      <c r="A54" s="8" t="s">
        <v>95</v>
      </c>
      <c r="B54" s="5" t="s">
        <v>73</v>
      </c>
      <c r="C54" s="9">
        <v>0.583</v>
      </c>
      <c r="D54" s="7">
        <v>12.1</v>
      </c>
      <c r="E54" s="7">
        <f>+1.4</f>
        <v>1.4</v>
      </c>
    </row>
    <row r="55">
      <c r="A55" s="8" t="s">
        <v>158</v>
      </c>
      <c r="B55" s="5" t="s">
        <v>73</v>
      </c>
      <c r="C55" s="9">
        <v>0.583</v>
      </c>
      <c r="D55" s="7">
        <v>-4.4</v>
      </c>
      <c r="E55" s="7">
        <v>-2.1</v>
      </c>
    </row>
    <row r="56">
      <c r="A56" s="8" t="s">
        <v>101</v>
      </c>
      <c r="B56" s="5" t="s">
        <v>86</v>
      </c>
      <c r="C56" s="9">
        <v>0.546</v>
      </c>
      <c r="D56" s="7">
        <v>6.5</v>
      </c>
      <c r="E56" s="7">
        <v>-2.8</v>
      </c>
    </row>
    <row r="57">
      <c r="A57" s="8" t="s">
        <v>74</v>
      </c>
      <c r="B57" s="5" t="s">
        <v>88</v>
      </c>
      <c r="C57" s="9">
        <v>0.539</v>
      </c>
      <c r="D57" s="7">
        <v>5.1</v>
      </c>
      <c r="E57" s="7">
        <f>+0.4</f>
        <v>0.4</v>
      </c>
    </row>
    <row r="58">
      <c r="A58" s="8" t="s">
        <v>51</v>
      </c>
      <c r="B58" s="5" t="s">
        <v>88</v>
      </c>
      <c r="C58" s="9">
        <v>0.539</v>
      </c>
      <c r="D58" s="7">
        <v>1.2</v>
      </c>
      <c r="E58" s="7">
        <v>-1.2</v>
      </c>
    </row>
    <row r="59">
      <c r="A59" s="8" t="s">
        <v>26</v>
      </c>
      <c r="B59" s="5" t="s">
        <v>88</v>
      </c>
      <c r="C59" s="9">
        <v>0.539</v>
      </c>
      <c r="D59" s="7">
        <v>4.2</v>
      </c>
      <c r="E59" s="7">
        <f>+3</f>
        <v>3</v>
      </c>
    </row>
    <row r="60">
      <c r="A60" s="8" t="s">
        <v>109</v>
      </c>
      <c r="B60" s="5" t="s">
        <v>88</v>
      </c>
      <c r="C60" s="9">
        <v>0.539</v>
      </c>
      <c r="D60" s="7">
        <v>-2.7</v>
      </c>
      <c r="E60" s="7">
        <v>-3.1</v>
      </c>
    </row>
    <row r="61">
      <c r="A61" s="8" t="s">
        <v>151</v>
      </c>
      <c r="B61" s="5" t="s">
        <v>88</v>
      </c>
      <c r="C61" s="9">
        <v>0.539</v>
      </c>
      <c r="D61" s="7">
        <v>4.7</v>
      </c>
      <c r="E61" s="7">
        <f>+7.8</f>
        <v>7.8</v>
      </c>
    </row>
    <row r="62">
      <c r="A62" s="8" t="s">
        <v>58</v>
      </c>
      <c r="B62" s="5" t="s">
        <v>88</v>
      </c>
      <c r="C62" s="9">
        <v>0.539</v>
      </c>
      <c r="D62" s="7">
        <v>5.7</v>
      </c>
      <c r="E62" s="7">
        <f>+1.8</f>
        <v>1.8</v>
      </c>
    </row>
    <row r="63">
      <c r="A63" s="8" t="s">
        <v>35</v>
      </c>
      <c r="B63" s="5" t="s">
        <v>88</v>
      </c>
      <c r="C63" s="9">
        <v>0.539</v>
      </c>
      <c r="D63" s="7">
        <v>8.2</v>
      </c>
      <c r="E63" s="7">
        <f>+3.7</f>
        <v>3.7</v>
      </c>
    </row>
    <row r="64">
      <c r="A64" s="8" t="s">
        <v>14</v>
      </c>
      <c r="B64" s="5" t="s">
        <v>88</v>
      </c>
      <c r="C64" s="9">
        <v>0.539</v>
      </c>
      <c r="D64" s="7">
        <v>2.0</v>
      </c>
      <c r="E64" s="7">
        <f>+0.2</f>
        <v>0.2</v>
      </c>
    </row>
    <row r="65">
      <c r="A65" s="8" t="s">
        <v>144</v>
      </c>
      <c r="B65" s="5" t="s">
        <v>88</v>
      </c>
      <c r="C65" s="9">
        <v>0.539</v>
      </c>
      <c r="D65" s="7">
        <v>0.8</v>
      </c>
      <c r="E65" s="7">
        <v>-2.3</v>
      </c>
    </row>
    <row r="66">
      <c r="A66" s="8" t="s">
        <v>128</v>
      </c>
      <c r="B66" s="5" t="s">
        <v>88</v>
      </c>
      <c r="C66" s="9">
        <v>0.539</v>
      </c>
      <c r="D66" s="7">
        <v>-0.4</v>
      </c>
      <c r="E66" s="7">
        <f>+1.5</f>
        <v>1.5</v>
      </c>
    </row>
    <row r="67">
      <c r="A67" s="8" t="s">
        <v>24</v>
      </c>
      <c r="B67" s="5" t="s">
        <v>88</v>
      </c>
      <c r="C67" s="9">
        <v>0.539</v>
      </c>
      <c r="D67" s="7">
        <v>6.4</v>
      </c>
      <c r="E67" s="7">
        <f>+1.6</f>
        <v>1.6</v>
      </c>
    </row>
    <row r="68">
      <c r="A68" s="8" t="s">
        <v>152</v>
      </c>
      <c r="B68" s="5" t="s">
        <v>88</v>
      </c>
      <c r="C68" s="9">
        <v>0.539</v>
      </c>
      <c r="D68" s="7">
        <v>5.6</v>
      </c>
      <c r="E68" s="7">
        <v>-2.5</v>
      </c>
    </row>
    <row r="69">
      <c r="A69" s="8" t="s">
        <v>64</v>
      </c>
      <c r="B69" s="5" t="s">
        <v>88</v>
      </c>
      <c r="C69" s="9">
        <v>0.539</v>
      </c>
      <c r="D69" s="7">
        <v>-1.0</v>
      </c>
      <c r="E69" s="4">
        <f>+2.2</f>
        <v>2.2</v>
      </c>
    </row>
    <row r="70">
      <c r="A70" s="8" t="s">
        <v>40</v>
      </c>
      <c r="B70" s="5" t="s">
        <v>88</v>
      </c>
      <c r="C70" s="9">
        <v>0.539</v>
      </c>
      <c r="D70" s="7">
        <v>6.9</v>
      </c>
      <c r="E70" s="7">
        <f>+2.7</f>
        <v>2.7</v>
      </c>
    </row>
    <row r="71">
      <c r="A71" s="8" t="s">
        <v>15</v>
      </c>
      <c r="B71" s="5" t="s">
        <v>88</v>
      </c>
      <c r="C71" s="9">
        <v>0.539</v>
      </c>
      <c r="D71" s="7">
        <v>7.0</v>
      </c>
      <c r="E71" s="7">
        <v>-0.3</v>
      </c>
    </row>
    <row r="72">
      <c r="A72" s="8" t="s">
        <v>114</v>
      </c>
      <c r="B72" s="5" t="s">
        <v>88</v>
      </c>
      <c r="C72" s="9">
        <v>0.539</v>
      </c>
      <c r="D72" s="7">
        <v>6.6</v>
      </c>
      <c r="E72" s="7">
        <v>-2.1</v>
      </c>
    </row>
    <row r="73">
      <c r="A73" s="8" t="s">
        <v>70</v>
      </c>
      <c r="B73" s="5" t="s">
        <v>88</v>
      </c>
      <c r="C73" s="9">
        <v>0.539</v>
      </c>
      <c r="D73" s="7">
        <v>6.3</v>
      </c>
      <c r="E73" s="7">
        <f>+5.1</f>
        <v>5.1</v>
      </c>
    </row>
    <row r="74">
      <c r="A74" s="8" t="s">
        <v>115</v>
      </c>
      <c r="B74" s="5" t="s">
        <v>88</v>
      </c>
      <c r="C74" s="9">
        <v>0.539</v>
      </c>
      <c r="D74" s="7">
        <v>-0.7</v>
      </c>
      <c r="E74" s="7">
        <f>+0.4</f>
        <v>0.4</v>
      </c>
    </row>
    <row r="75">
      <c r="A75" s="8" t="s">
        <v>154</v>
      </c>
      <c r="B75" s="5" t="s">
        <v>88</v>
      </c>
      <c r="C75" s="9">
        <v>0.539</v>
      </c>
      <c r="D75" s="7">
        <v>2.8</v>
      </c>
      <c r="E75" s="7">
        <f>+7.7</f>
        <v>7.7</v>
      </c>
    </row>
    <row r="76">
      <c r="A76" s="8" t="s">
        <v>134</v>
      </c>
      <c r="B76" s="5" t="s">
        <v>88</v>
      </c>
      <c r="C76" s="9">
        <v>0.539</v>
      </c>
      <c r="D76" s="7">
        <v>3.1</v>
      </c>
      <c r="E76" s="7">
        <v>-3.0</v>
      </c>
    </row>
    <row r="77">
      <c r="A77" s="8" t="s">
        <v>45</v>
      </c>
      <c r="B77" s="5" t="s">
        <v>90</v>
      </c>
      <c r="C77" s="9">
        <v>0.5</v>
      </c>
      <c r="D77" s="7">
        <v>4.9</v>
      </c>
      <c r="E77" s="7">
        <v>0.0</v>
      </c>
    </row>
    <row r="78">
      <c r="A78" s="8" t="s">
        <v>102</v>
      </c>
      <c r="B78" s="5" t="s">
        <v>347</v>
      </c>
      <c r="C78" s="9">
        <v>0.5</v>
      </c>
      <c r="D78" s="7">
        <v>-5.9</v>
      </c>
      <c r="E78" s="7">
        <f>+0.3</f>
        <v>0.3</v>
      </c>
    </row>
    <row r="79">
      <c r="A79" s="8" t="s">
        <v>104</v>
      </c>
      <c r="B79" s="5" t="s">
        <v>90</v>
      </c>
      <c r="C79" s="9">
        <v>0.5</v>
      </c>
      <c r="D79" s="7">
        <v>3.7</v>
      </c>
      <c r="E79" s="7">
        <f>+4.7</f>
        <v>4.7</v>
      </c>
    </row>
    <row r="80">
      <c r="A80" s="8" t="s">
        <v>12</v>
      </c>
      <c r="B80" s="5" t="s">
        <v>90</v>
      </c>
      <c r="C80" s="9">
        <v>0.5</v>
      </c>
      <c r="D80" s="7">
        <v>-1.8</v>
      </c>
      <c r="E80" s="7">
        <v>-2.9</v>
      </c>
    </row>
    <row r="81">
      <c r="A81" s="8" t="s">
        <v>10</v>
      </c>
      <c r="B81" s="5" t="s">
        <v>261</v>
      </c>
      <c r="C81" s="9">
        <v>0.462</v>
      </c>
      <c r="D81" s="7">
        <v>2.1</v>
      </c>
      <c r="E81" s="7">
        <f>+2.4</f>
        <v>2.4</v>
      </c>
    </row>
    <row r="82">
      <c r="A82" s="8" t="s">
        <v>94</v>
      </c>
      <c r="B82" s="5" t="s">
        <v>261</v>
      </c>
      <c r="C82" s="9">
        <v>0.462</v>
      </c>
      <c r="D82" s="7">
        <v>3.2</v>
      </c>
      <c r="E82" s="7">
        <f>+4.9</f>
        <v>4.9</v>
      </c>
    </row>
    <row r="83">
      <c r="A83" s="8" t="s">
        <v>145</v>
      </c>
      <c r="B83" s="5" t="s">
        <v>261</v>
      </c>
      <c r="C83" s="9">
        <v>0.462</v>
      </c>
      <c r="D83" s="7">
        <v>-4.2</v>
      </c>
      <c r="E83" s="7">
        <v>-4.5</v>
      </c>
    </row>
    <row r="84">
      <c r="A84" s="8" t="s">
        <v>31</v>
      </c>
      <c r="B84" s="5" t="s">
        <v>261</v>
      </c>
      <c r="C84" s="9">
        <v>0.462</v>
      </c>
      <c r="D84" s="7">
        <v>-5.8</v>
      </c>
      <c r="E84" s="7">
        <v>-4.2</v>
      </c>
    </row>
    <row r="85">
      <c r="A85" s="8" t="s">
        <v>67</v>
      </c>
      <c r="B85" s="5" t="s">
        <v>261</v>
      </c>
      <c r="C85" s="9">
        <v>0.462</v>
      </c>
      <c r="D85" s="7">
        <v>-1.4</v>
      </c>
      <c r="E85" s="7">
        <v>-7.8</v>
      </c>
    </row>
    <row r="86">
      <c r="A86" s="8" t="s">
        <v>42</v>
      </c>
      <c r="B86" s="5" t="s">
        <v>274</v>
      </c>
      <c r="C86" s="9">
        <v>0.455</v>
      </c>
      <c r="D86" s="7">
        <v>1.5</v>
      </c>
      <c r="E86" s="7">
        <f>+0.4</f>
        <v>0.4</v>
      </c>
    </row>
    <row r="87">
      <c r="A87" s="8" t="s">
        <v>118</v>
      </c>
      <c r="B87" s="5" t="s">
        <v>103</v>
      </c>
      <c r="C87" s="9">
        <v>0.417</v>
      </c>
      <c r="D87" s="7">
        <v>2.8</v>
      </c>
      <c r="E87" s="7">
        <f>+2.1</f>
        <v>2.1</v>
      </c>
    </row>
    <row r="88">
      <c r="A88" s="8" t="s">
        <v>87</v>
      </c>
      <c r="B88" s="5" t="s">
        <v>103</v>
      </c>
      <c r="C88" s="9">
        <v>0.417</v>
      </c>
      <c r="D88" s="7">
        <v>0.3</v>
      </c>
      <c r="E88" s="7">
        <v>-5.5</v>
      </c>
    </row>
    <row r="89">
      <c r="A89" s="8" t="s">
        <v>22</v>
      </c>
      <c r="B89" s="5" t="s">
        <v>103</v>
      </c>
      <c r="C89" s="9">
        <v>0.417</v>
      </c>
      <c r="D89" s="7">
        <v>-6.8</v>
      </c>
      <c r="E89" s="7">
        <v>-6.5</v>
      </c>
    </row>
    <row r="90">
      <c r="A90" s="8" t="s">
        <v>5</v>
      </c>
      <c r="B90" s="5" t="s">
        <v>103</v>
      </c>
      <c r="C90" s="9">
        <v>0.417</v>
      </c>
      <c r="D90" s="7">
        <v>1.5</v>
      </c>
      <c r="E90" s="7">
        <f>+0.3</f>
        <v>0.3</v>
      </c>
    </row>
    <row r="91">
      <c r="A91" s="8" t="s">
        <v>76</v>
      </c>
      <c r="B91" s="5" t="s">
        <v>103</v>
      </c>
      <c r="C91" s="9">
        <v>0.417</v>
      </c>
      <c r="D91" s="7">
        <v>-0.8</v>
      </c>
      <c r="E91" s="7">
        <v>-1.1</v>
      </c>
    </row>
    <row r="92">
      <c r="A92" s="8" t="s">
        <v>142</v>
      </c>
      <c r="B92" s="5" t="s">
        <v>103</v>
      </c>
      <c r="C92" s="9">
        <v>0.417</v>
      </c>
      <c r="D92" s="7">
        <v>-1.8</v>
      </c>
      <c r="E92" s="7">
        <v>-5.1</v>
      </c>
    </row>
    <row r="93">
      <c r="A93" s="8" t="s">
        <v>16</v>
      </c>
      <c r="B93" s="5" t="s">
        <v>103</v>
      </c>
      <c r="C93" s="9">
        <v>0.417</v>
      </c>
      <c r="D93" s="7">
        <v>-1.7</v>
      </c>
      <c r="E93" s="7">
        <f>+0.1</f>
        <v>0.1</v>
      </c>
    </row>
    <row r="94">
      <c r="A94" s="8" t="s">
        <v>93</v>
      </c>
      <c r="B94" s="5" t="s">
        <v>103</v>
      </c>
      <c r="C94" s="9">
        <v>0.417</v>
      </c>
      <c r="D94" s="7">
        <v>-11.8</v>
      </c>
      <c r="E94" s="7">
        <v>-6.4</v>
      </c>
    </row>
    <row r="95">
      <c r="A95" s="8" t="s">
        <v>129</v>
      </c>
      <c r="B95" s="5" t="s">
        <v>103</v>
      </c>
      <c r="C95" s="9">
        <v>0.417</v>
      </c>
      <c r="D95" s="7">
        <v>-1.0</v>
      </c>
      <c r="E95" s="7">
        <v>-1.4</v>
      </c>
    </row>
    <row r="96">
      <c r="A96" s="8" t="s">
        <v>30</v>
      </c>
      <c r="B96" s="5" t="s">
        <v>103</v>
      </c>
      <c r="C96" s="9">
        <v>0.417</v>
      </c>
      <c r="D96" s="7">
        <v>-2.9</v>
      </c>
      <c r="E96" s="7">
        <v>-1.3</v>
      </c>
    </row>
    <row r="97">
      <c r="A97" s="8" t="s">
        <v>80</v>
      </c>
      <c r="B97" s="5" t="s">
        <v>103</v>
      </c>
      <c r="C97" s="9">
        <v>0.417</v>
      </c>
      <c r="D97" s="7">
        <v>-0.7</v>
      </c>
      <c r="E97" s="7">
        <f>+7.3</f>
        <v>7.3</v>
      </c>
    </row>
    <row r="98">
      <c r="A98" s="8" t="s">
        <v>66</v>
      </c>
      <c r="B98" s="5" t="s">
        <v>103</v>
      </c>
      <c r="C98" s="9">
        <v>0.417</v>
      </c>
      <c r="D98" s="7">
        <v>-2.7</v>
      </c>
      <c r="E98" s="7">
        <f>+1</f>
        <v>1</v>
      </c>
    </row>
    <row r="99">
      <c r="A99" s="8" t="s">
        <v>44</v>
      </c>
      <c r="B99" s="5" t="s">
        <v>103</v>
      </c>
      <c r="C99" s="9">
        <v>0.417</v>
      </c>
      <c r="D99" s="7">
        <v>-11.0</v>
      </c>
      <c r="E99" s="7">
        <v>-6.5</v>
      </c>
    </row>
    <row r="100">
      <c r="A100" s="8" t="s">
        <v>124</v>
      </c>
      <c r="B100" s="5" t="s">
        <v>378</v>
      </c>
      <c r="C100" s="9">
        <v>0.364</v>
      </c>
      <c r="D100" s="7">
        <v>-5.2</v>
      </c>
      <c r="E100" s="7">
        <v>-5.3</v>
      </c>
    </row>
    <row r="101">
      <c r="A101" s="8" t="s">
        <v>54</v>
      </c>
      <c r="B101" s="5" t="s">
        <v>119</v>
      </c>
      <c r="C101" s="9">
        <v>0.333</v>
      </c>
      <c r="D101" s="7">
        <v>-9.3</v>
      </c>
      <c r="E101" s="7">
        <v>-8.8</v>
      </c>
    </row>
    <row r="102">
      <c r="A102" s="8" t="s">
        <v>150</v>
      </c>
      <c r="B102" s="5" t="s">
        <v>119</v>
      </c>
      <c r="C102" s="9">
        <v>0.333</v>
      </c>
      <c r="D102" s="7">
        <v>-7.4</v>
      </c>
      <c r="E102" s="7">
        <v>-6.5</v>
      </c>
    </row>
    <row r="103">
      <c r="A103" s="8" t="s">
        <v>77</v>
      </c>
      <c r="B103" s="5" t="s">
        <v>119</v>
      </c>
      <c r="C103" s="9">
        <v>0.333</v>
      </c>
      <c r="D103" s="7">
        <v>-10.7</v>
      </c>
      <c r="E103" s="7">
        <v>-6.8</v>
      </c>
    </row>
    <row r="104">
      <c r="A104" s="8" t="s">
        <v>78</v>
      </c>
      <c r="B104" s="5" t="s">
        <v>119</v>
      </c>
      <c r="C104" s="9">
        <v>0.333</v>
      </c>
      <c r="D104" s="7">
        <v>-10.9</v>
      </c>
      <c r="E104" s="7">
        <v>-7.5</v>
      </c>
    </row>
    <row r="105">
      <c r="A105" s="8" t="s">
        <v>143</v>
      </c>
      <c r="B105" s="5" t="s">
        <v>119</v>
      </c>
      <c r="C105" s="9">
        <v>0.333</v>
      </c>
      <c r="D105" s="7">
        <v>-7.1</v>
      </c>
      <c r="E105" s="7">
        <f>+1.9</f>
        <v>1.9</v>
      </c>
    </row>
    <row r="106">
      <c r="A106" s="8" t="s">
        <v>133</v>
      </c>
      <c r="B106" s="5" t="s">
        <v>119</v>
      </c>
      <c r="C106" s="9">
        <v>0.333</v>
      </c>
      <c r="D106" s="7">
        <v>-13.0</v>
      </c>
      <c r="E106" s="7">
        <v>-3.6</v>
      </c>
    </row>
    <row r="107">
      <c r="A107" s="8" t="s">
        <v>116</v>
      </c>
      <c r="B107" s="5" t="s">
        <v>119</v>
      </c>
      <c r="C107" s="9">
        <v>0.333</v>
      </c>
      <c r="D107" s="7">
        <v>-10.3</v>
      </c>
      <c r="E107" s="7">
        <v>-1.0</v>
      </c>
    </row>
    <row r="108">
      <c r="A108" s="8" t="s">
        <v>147</v>
      </c>
      <c r="B108" s="5" t="s">
        <v>119</v>
      </c>
      <c r="C108" s="9">
        <v>0.333</v>
      </c>
      <c r="D108" s="7">
        <v>-4.8</v>
      </c>
      <c r="E108" s="7">
        <v>-1.3</v>
      </c>
    </row>
    <row r="109">
      <c r="A109" s="8" t="s">
        <v>160</v>
      </c>
      <c r="B109" s="5" t="s">
        <v>119</v>
      </c>
      <c r="C109" s="9">
        <v>0.333</v>
      </c>
      <c r="D109" s="7">
        <v>-1.3</v>
      </c>
      <c r="E109" s="7">
        <f>+3.7</f>
        <v>3.7</v>
      </c>
    </row>
    <row r="110">
      <c r="A110" s="8" t="s">
        <v>137</v>
      </c>
      <c r="B110" s="5" t="s">
        <v>119</v>
      </c>
      <c r="C110" s="9">
        <v>0.333</v>
      </c>
      <c r="D110" s="7">
        <v>-6.7</v>
      </c>
      <c r="E110" s="7">
        <v>-2.8</v>
      </c>
    </row>
    <row r="111">
      <c r="A111" s="8" t="s">
        <v>19</v>
      </c>
      <c r="B111" s="5" t="s">
        <v>399</v>
      </c>
      <c r="C111" s="9">
        <v>0.308</v>
      </c>
      <c r="D111" s="7">
        <v>-7.6</v>
      </c>
      <c r="E111" s="7">
        <v>-6.5</v>
      </c>
    </row>
    <row r="112">
      <c r="A112" s="8" t="s">
        <v>140</v>
      </c>
      <c r="B112" s="5" t="s">
        <v>139</v>
      </c>
      <c r="C112" s="9">
        <v>0.25</v>
      </c>
      <c r="D112" s="7">
        <v>-5.8</v>
      </c>
      <c r="E112" s="7">
        <f>+1.6</f>
        <v>1.6</v>
      </c>
    </row>
    <row r="113">
      <c r="A113" s="8" t="s">
        <v>52</v>
      </c>
      <c r="B113" s="5" t="s">
        <v>139</v>
      </c>
      <c r="C113" s="9">
        <v>0.25</v>
      </c>
      <c r="D113" s="7">
        <v>-11.2</v>
      </c>
      <c r="E113" s="7">
        <v>-8.3</v>
      </c>
    </row>
    <row r="114">
      <c r="A114" s="8" t="s">
        <v>59</v>
      </c>
      <c r="B114" s="5" t="s">
        <v>139</v>
      </c>
      <c r="C114" s="9">
        <v>0.25</v>
      </c>
      <c r="D114" s="7">
        <v>-20.1</v>
      </c>
      <c r="E114" s="7">
        <v>-4.1</v>
      </c>
    </row>
    <row r="115">
      <c r="A115" s="8" t="s">
        <v>38</v>
      </c>
      <c r="B115" s="5" t="s">
        <v>139</v>
      </c>
      <c r="C115" s="9">
        <v>0.25</v>
      </c>
      <c r="D115" s="7">
        <v>-11.2</v>
      </c>
      <c r="E115" s="7">
        <v>-8.7</v>
      </c>
    </row>
    <row r="116">
      <c r="A116" s="8" t="s">
        <v>132</v>
      </c>
      <c r="B116" s="5" t="s">
        <v>139</v>
      </c>
      <c r="C116" s="9">
        <v>0.25</v>
      </c>
      <c r="D116" s="7">
        <v>-5.3</v>
      </c>
      <c r="E116" s="7">
        <v>-0.5</v>
      </c>
    </row>
    <row r="117">
      <c r="A117" s="8" t="s">
        <v>43</v>
      </c>
      <c r="B117" s="5" t="s">
        <v>139</v>
      </c>
      <c r="C117" s="9">
        <v>0.25</v>
      </c>
      <c r="D117" s="7">
        <v>-14.3</v>
      </c>
      <c r="E117" s="7">
        <v>-3.2</v>
      </c>
    </row>
    <row r="118">
      <c r="A118" s="8" t="s">
        <v>100</v>
      </c>
      <c r="B118" s="5" t="s">
        <v>139</v>
      </c>
      <c r="C118" s="9">
        <v>0.25</v>
      </c>
      <c r="D118" s="7">
        <v>-10.3</v>
      </c>
      <c r="E118" s="7">
        <v>-2.6</v>
      </c>
    </row>
    <row r="119">
      <c r="A119" s="8" t="s">
        <v>120</v>
      </c>
      <c r="B119" s="5" t="s">
        <v>149</v>
      </c>
      <c r="C119" s="9">
        <v>0.167</v>
      </c>
      <c r="D119" s="7">
        <v>-22.8</v>
      </c>
      <c r="E119" s="7">
        <v>-13.2</v>
      </c>
    </row>
    <row r="120">
      <c r="A120" s="8" t="s">
        <v>121</v>
      </c>
      <c r="B120" s="5" t="s">
        <v>149</v>
      </c>
      <c r="C120" s="9">
        <v>0.167</v>
      </c>
      <c r="D120" s="7">
        <v>-12.7</v>
      </c>
      <c r="E120" s="7">
        <v>-2.6</v>
      </c>
    </row>
    <row r="121">
      <c r="A121" s="8" t="s">
        <v>107</v>
      </c>
      <c r="B121" s="5" t="s">
        <v>149</v>
      </c>
      <c r="C121" s="9">
        <v>0.167</v>
      </c>
      <c r="D121" s="7">
        <v>-22.3</v>
      </c>
      <c r="E121" s="7">
        <v>-7.3</v>
      </c>
    </row>
    <row r="122">
      <c r="A122" s="8" t="s">
        <v>122</v>
      </c>
      <c r="B122" s="5" t="s">
        <v>149</v>
      </c>
      <c r="C122" s="9">
        <v>0.167</v>
      </c>
      <c r="D122" s="7">
        <v>-8.2</v>
      </c>
      <c r="E122" s="7">
        <v>-1.5</v>
      </c>
    </row>
    <row r="123">
      <c r="A123" s="8" t="s">
        <v>55</v>
      </c>
      <c r="B123" s="5" t="s">
        <v>149</v>
      </c>
      <c r="C123" s="9">
        <v>0.167</v>
      </c>
      <c r="D123" s="7">
        <v>-16.1</v>
      </c>
      <c r="E123" s="7">
        <v>-2.5</v>
      </c>
    </row>
    <row r="124">
      <c r="A124" s="8" t="s">
        <v>98</v>
      </c>
      <c r="B124" s="5" t="s">
        <v>149</v>
      </c>
      <c r="C124" s="9">
        <v>0.167</v>
      </c>
      <c r="D124" s="7">
        <v>-16.3</v>
      </c>
      <c r="E124" s="7">
        <v>-2.5</v>
      </c>
    </row>
    <row r="125">
      <c r="A125" s="8" t="s">
        <v>99</v>
      </c>
      <c r="B125" s="5" t="s">
        <v>149</v>
      </c>
      <c r="C125" s="9">
        <v>0.167</v>
      </c>
      <c r="D125" s="7">
        <v>-11.3</v>
      </c>
      <c r="E125" s="7">
        <v>-1.1</v>
      </c>
    </row>
    <row r="126">
      <c r="A126" s="8" t="s">
        <v>141</v>
      </c>
      <c r="B126" s="5" t="s">
        <v>396</v>
      </c>
      <c r="C126" s="9">
        <v>0.154</v>
      </c>
      <c r="D126" s="7">
        <v>-25.8</v>
      </c>
      <c r="E126" s="7">
        <v>-9.0</v>
      </c>
    </row>
    <row r="127">
      <c r="A127" s="8" t="s">
        <v>108</v>
      </c>
      <c r="B127" s="5" t="s">
        <v>157</v>
      </c>
      <c r="C127" s="9">
        <v>0.083</v>
      </c>
      <c r="D127" s="7">
        <v>-19.5</v>
      </c>
      <c r="E127" s="7">
        <v>-6.5</v>
      </c>
    </row>
    <row r="128">
      <c r="A128" s="8" t="s">
        <v>112</v>
      </c>
      <c r="B128" s="5" t="s">
        <v>157</v>
      </c>
      <c r="C128" s="9">
        <v>0.083</v>
      </c>
      <c r="D128" s="7">
        <v>-24.8</v>
      </c>
      <c r="E128" s="7">
        <v>-6.7</v>
      </c>
    </row>
    <row r="129">
      <c r="A129" s="8" t="s">
        <v>113</v>
      </c>
      <c r="B129" s="5" t="s">
        <v>157</v>
      </c>
      <c r="C129" s="9">
        <v>0.083</v>
      </c>
      <c r="D129" s="7">
        <v>-11.6</v>
      </c>
      <c r="E129" s="7">
        <v>-4.4</v>
      </c>
    </row>
    <row r="130">
      <c r="A130" s="8" t="s">
        <v>153</v>
      </c>
      <c r="B130" s="5" t="s">
        <v>157</v>
      </c>
      <c r="C130" s="9">
        <v>0.083</v>
      </c>
      <c r="D130" s="7">
        <v>-22.3</v>
      </c>
      <c r="E130" s="7">
        <v>-10.6</v>
      </c>
    </row>
    <row r="131">
      <c r="A131" s="8" t="s">
        <v>159</v>
      </c>
      <c r="B131" s="5" t="s">
        <v>157</v>
      </c>
      <c r="C131" s="9">
        <v>0.083</v>
      </c>
      <c r="D131" s="7">
        <v>-18.6</v>
      </c>
      <c r="E131" s="7">
        <v>-5.7</v>
      </c>
    </row>
    <row r="132">
      <c r="A132" s="8" t="s">
        <v>148</v>
      </c>
      <c r="B132" s="5" t="s">
        <v>161</v>
      </c>
      <c r="C132" s="9">
        <v>0.0</v>
      </c>
      <c r="D132" s="7">
        <v>-25.0</v>
      </c>
      <c r="E132" s="7">
        <v>-4.7</v>
      </c>
    </row>
    <row r="133">
      <c r="A133" s="8" t="s">
        <v>97</v>
      </c>
      <c r="B133" s="5" t="s">
        <v>338</v>
      </c>
      <c r="C133" s="9">
        <v>0.0</v>
      </c>
      <c r="D133" s="7">
        <v>-27.0</v>
      </c>
      <c r="E133" s="7">
        <f>+12.5</f>
        <v>12.5</v>
      </c>
    </row>
    <row r="134">
      <c r="A134" s="8" t="s">
        <v>71</v>
      </c>
      <c r="B134" s="5" t="s">
        <v>338</v>
      </c>
      <c r="C134" s="9">
        <v>0.0</v>
      </c>
      <c r="D134" s="7">
        <v>-27.0</v>
      </c>
      <c r="E134" s="7">
        <v>-10.5</v>
      </c>
    </row>
    <row r="135">
      <c r="A135" s="8" t="s">
        <v>84</v>
      </c>
      <c r="B135" s="5" t="s">
        <v>338</v>
      </c>
      <c r="C135" s="9">
        <v>0.0</v>
      </c>
      <c r="D135" s="7">
        <v>-29.0</v>
      </c>
      <c r="E135" s="7">
        <f>+7</f>
        <v>7</v>
      </c>
    </row>
    <row r="136">
      <c r="A136" s="10" t="s">
        <v>400</v>
      </c>
      <c r="B136" s="11" t="s">
        <v>338</v>
      </c>
      <c r="C136" s="12">
        <v>0.0</v>
      </c>
      <c r="D136" s="13">
        <v>-3.0</v>
      </c>
      <c r="E136" s="1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28</v>
      </c>
      <c r="B2" s="5" t="s">
        <v>342</v>
      </c>
      <c r="C2" s="9">
        <v>0.933</v>
      </c>
      <c r="D2" s="7">
        <v>25.8</v>
      </c>
      <c r="E2" s="4">
        <f>+4.2</f>
        <v>4.2</v>
      </c>
    </row>
    <row r="3">
      <c r="A3" s="8" t="s">
        <v>81</v>
      </c>
      <c r="B3" s="5" t="s">
        <v>342</v>
      </c>
      <c r="C3" s="9">
        <v>0.933</v>
      </c>
      <c r="D3" s="7">
        <v>21.2</v>
      </c>
      <c r="E3" s="4">
        <f>+4.4</f>
        <v>4.4</v>
      </c>
    </row>
    <row r="4">
      <c r="A4" s="8" t="s">
        <v>45</v>
      </c>
      <c r="B4" s="5" t="s">
        <v>162</v>
      </c>
      <c r="C4" s="9">
        <v>0.929</v>
      </c>
      <c r="D4" s="7">
        <v>21.8</v>
      </c>
      <c r="E4" s="7">
        <f>+8.1</f>
        <v>8.1</v>
      </c>
    </row>
    <row r="5">
      <c r="A5" s="8" t="s">
        <v>63</v>
      </c>
      <c r="B5" s="5" t="s">
        <v>170</v>
      </c>
      <c r="C5" s="9">
        <v>0.857</v>
      </c>
      <c r="D5" s="7">
        <v>24.1</v>
      </c>
      <c r="E5" s="4">
        <f>+7.1</f>
        <v>7.1</v>
      </c>
    </row>
    <row r="6">
      <c r="A6" s="8" t="s">
        <v>9</v>
      </c>
      <c r="B6" s="5" t="s">
        <v>17</v>
      </c>
      <c r="C6" s="9">
        <v>0.846</v>
      </c>
      <c r="D6" s="7">
        <v>23.9</v>
      </c>
      <c r="E6" s="7">
        <f>+4.6</f>
        <v>4.6</v>
      </c>
    </row>
    <row r="7">
      <c r="A7" s="8" t="s">
        <v>23</v>
      </c>
      <c r="B7" s="5" t="s">
        <v>17</v>
      </c>
      <c r="C7" s="9">
        <v>0.846</v>
      </c>
      <c r="D7" s="7">
        <v>15.1</v>
      </c>
      <c r="E7" s="7">
        <v>-0.2</v>
      </c>
    </row>
    <row r="8">
      <c r="A8" s="8" t="s">
        <v>37</v>
      </c>
      <c r="B8" s="5" t="s">
        <v>17</v>
      </c>
      <c r="C8" s="9">
        <v>0.846</v>
      </c>
      <c r="D8" s="7">
        <v>12.2</v>
      </c>
      <c r="E8" s="7">
        <f>+2.1</f>
        <v>2.1</v>
      </c>
    </row>
    <row r="9">
      <c r="A9" s="8" t="s">
        <v>125</v>
      </c>
      <c r="B9" s="5" t="s">
        <v>182</v>
      </c>
      <c r="C9" s="9">
        <v>0.786</v>
      </c>
      <c r="D9" s="7">
        <v>12.8</v>
      </c>
      <c r="E9" s="4">
        <f>+4.6</f>
        <v>4.6</v>
      </c>
    </row>
    <row r="10">
      <c r="A10" s="8" t="s">
        <v>91</v>
      </c>
      <c r="B10" s="5" t="s">
        <v>182</v>
      </c>
      <c r="C10" s="9">
        <v>0.786</v>
      </c>
      <c r="D10" s="7">
        <v>12.1</v>
      </c>
      <c r="E10" s="4">
        <f>+8.5</f>
        <v>8.5</v>
      </c>
    </row>
    <row r="11">
      <c r="A11" s="8" t="s">
        <v>39</v>
      </c>
      <c r="B11" s="5" t="s">
        <v>182</v>
      </c>
      <c r="C11" s="9">
        <v>0.786</v>
      </c>
      <c r="D11" s="7">
        <v>15.0</v>
      </c>
      <c r="E11" s="4">
        <f>+1.1</f>
        <v>1.1</v>
      </c>
    </row>
    <row r="12">
      <c r="A12" s="8" t="s">
        <v>67</v>
      </c>
      <c r="B12" s="5" t="s">
        <v>182</v>
      </c>
      <c r="C12" s="9">
        <v>0.786</v>
      </c>
      <c r="D12" s="7">
        <v>20.9</v>
      </c>
      <c r="E12" s="4">
        <f>+5.3</f>
        <v>5.3</v>
      </c>
    </row>
    <row r="13">
      <c r="A13" s="8" t="s">
        <v>47</v>
      </c>
      <c r="B13" s="5" t="s">
        <v>29</v>
      </c>
      <c r="C13" s="9">
        <v>0.769</v>
      </c>
      <c r="D13" s="7">
        <v>10.5</v>
      </c>
      <c r="E13" s="7">
        <v>-7.7</v>
      </c>
    </row>
    <row r="14">
      <c r="A14" s="8" t="s">
        <v>122</v>
      </c>
      <c r="B14" s="5" t="s">
        <v>29</v>
      </c>
      <c r="C14" s="9">
        <v>0.769</v>
      </c>
      <c r="D14" s="7">
        <v>12.6</v>
      </c>
      <c r="E14" s="7">
        <f>+7.8</f>
        <v>7.8</v>
      </c>
    </row>
    <row r="15">
      <c r="A15" s="8" t="s">
        <v>33</v>
      </c>
      <c r="B15" s="5" t="s">
        <v>29</v>
      </c>
      <c r="C15" s="9">
        <v>0.769</v>
      </c>
      <c r="D15" s="7">
        <v>26.2</v>
      </c>
      <c r="E15" s="7">
        <f>+3.7</f>
        <v>3.7</v>
      </c>
    </row>
    <row r="16">
      <c r="A16" s="8" t="s">
        <v>156</v>
      </c>
      <c r="B16" s="5" t="s">
        <v>29</v>
      </c>
      <c r="C16" s="9">
        <v>0.769</v>
      </c>
      <c r="D16" s="7">
        <v>12.1</v>
      </c>
      <c r="E16" s="4">
        <f>+5.6</f>
        <v>5.6</v>
      </c>
    </row>
    <row r="17">
      <c r="A17" s="8" t="s">
        <v>68</v>
      </c>
      <c r="B17" s="5" t="s">
        <v>29</v>
      </c>
      <c r="C17" s="9">
        <v>0.769</v>
      </c>
      <c r="D17" s="7">
        <v>11.6</v>
      </c>
      <c r="E17" s="7">
        <f>+1.2</f>
        <v>1.2</v>
      </c>
    </row>
    <row r="18">
      <c r="A18" s="8" t="s">
        <v>129</v>
      </c>
      <c r="B18" s="5" t="s">
        <v>29</v>
      </c>
      <c r="C18" s="9">
        <v>0.769</v>
      </c>
      <c r="D18" s="7">
        <v>8.9</v>
      </c>
      <c r="E18" s="7">
        <v>-3.7</v>
      </c>
    </row>
    <row r="19">
      <c r="A19" s="8" t="s">
        <v>131</v>
      </c>
      <c r="B19" s="5" t="s">
        <v>29</v>
      </c>
      <c r="C19" s="9">
        <v>0.769</v>
      </c>
      <c r="D19" s="7">
        <v>5.9</v>
      </c>
      <c r="E19" s="7">
        <v>-1.3</v>
      </c>
    </row>
    <row r="20">
      <c r="A20" s="8" t="s">
        <v>41</v>
      </c>
      <c r="B20" s="5" t="s">
        <v>29</v>
      </c>
      <c r="C20" s="9">
        <v>0.769</v>
      </c>
      <c r="D20" s="7">
        <v>10.2</v>
      </c>
      <c r="E20" s="7">
        <f>+3.4</f>
        <v>3.4</v>
      </c>
    </row>
    <row r="21">
      <c r="A21" s="8" t="s">
        <v>114</v>
      </c>
      <c r="B21" s="5" t="s">
        <v>29</v>
      </c>
      <c r="C21" s="9">
        <v>0.769</v>
      </c>
      <c r="D21" s="7">
        <v>10.1</v>
      </c>
      <c r="E21" s="7">
        <v>-0.1</v>
      </c>
    </row>
    <row r="22">
      <c r="A22" s="8" t="s">
        <v>134</v>
      </c>
      <c r="B22" s="5" t="s">
        <v>29</v>
      </c>
      <c r="C22" s="9">
        <v>0.769</v>
      </c>
      <c r="D22" s="7">
        <v>7.2</v>
      </c>
      <c r="E22" s="7">
        <v>-1.3</v>
      </c>
    </row>
    <row r="23">
      <c r="A23" s="8" t="s">
        <v>117</v>
      </c>
      <c r="B23" s="5" t="s">
        <v>29</v>
      </c>
      <c r="C23" s="9">
        <v>0.769</v>
      </c>
      <c r="D23" s="7">
        <v>11.4</v>
      </c>
      <c r="E23" s="4">
        <f>+1.2</f>
        <v>1.2</v>
      </c>
    </row>
    <row r="24">
      <c r="A24" s="8" t="s">
        <v>44</v>
      </c>
      <c r="B24" s="5" t="s">
        <v>29</v>
      </c>
      <c r="C24" s="9">
        <v>0.769</v>
      </c>
      <c r="D24" s="7">
        <v>7.8</v>
      </c>
      <c r="E24" s="4">
        <f>+5.3</f>
        <v>5.3</v>
      </c>
    </row>
    <row r="25">
      <c r="A25" s="8" t="s">
        <v>142</v>
      </c>
      <c r="B25" s="5" t="s">
        <v>203</v>
      </c>
      <c r="C25" s="9">
        <v>0.714</v>
      </c>
      <c r="D25" s="7">
        <v>9.4</v>
      </c>
      <c r="E25" s="7">
        <f>+3.3</f>
        <v>3.3</v>
      </c>
    </row>
    <row r="26">
      <c r="A26" s="8" t="s">
        <v>146</v>
      </c>
      <c r="B26" s="5" t="s">
        <v>203</v>
      </c>
      <c r="C26" s="9">
        <v>0.714</v>
      </c>
      <c r="D26" s="7">
        <v>12.2</v>
      </c>
      <c r="E26" s="7">
        <f>+3.9</f>
        <v>3.9</v>
      </c>
    </row>
    <row r="27">
      <c r="A27" s="8" t="s">
        <v>115</v>
      </c>
      <c r="B27" s="5" t="s">
        <v>203</v>
      </c>
      <c r="C27" s="9">
        <v>0.714</v>
      </c>
      <c r="D27" s="7">
        <v>13.9</v>
      </c>
      <c r="E27" s="7">
        <f>+6.1</f>
        <v>6.1</v>
      </c>
    </row>
    <row r="28">
      <c r="A28" s="8" t="s">
        <v>48</v>
      </c>
      <c r="B28" s="5" t="s">
        <v>46</v>
      </c>
      <c r="C28" s="9">
        <v>0.692</v>
      </c>
      <c r="D28" s="7">
        <v>12.3</v>
      </c>
      <c r="E28" s="7">
        <f t="shared" ref="E28:E29" si="1">+0.8</f>
        <v>0.8</v>
      </c>
    </row>
    <row r="29">
      <c r="A29" s="8" t="s">
        <v>124</v>
      </c>
      <c r="B29" s="5" t="s">
        <v>46</v>
      </c>
      <c r="C29" s="9">
        <v>0.692</v>
      </c>
      <c r="D29" s="7">
        <v>7.2</v>
      </c>
      <c r="E29" s="4">
        <f t="shared" si="1"/>
        <v>0.8</v>
      </c>
    </row>
    <row r="30">
      <c r="A30" s="8" t="s">
        <v>54</v>
      </c>
      <c r="B30" s="5" t="s">
        <v>46</v>
      </c>
      <c r="C30" s="9">
        <v>0.692</v>
      </c>
      <c r="D30" s="7">
        <v>7.5</v>
      </c>
      <c r="E30" s="7">
        <v>-4.0</v>
      </c>
    </row>
    <row r="31">
      <c r="A31" s="8" t="s">
        <v>76</v>
      </c>
      <c r="B31" s="5" t="s">
        <v>46</v>
      </c>
      <c r="C31" s="9">
        <v>0.692</v>
      </c>
      <c r="D31" s="7">
        <v>7.2</v>
      </c>
      <c r="E31" s="4">
        <f>+2.3</f>
        <v>2.3</v>
      </c>
    </row>
    <row r="32">
      <c r="A32" s="8" t="s">
        <v>92</v>
      </c>
      <c r="B32" s="5" t="s">
        <v>46</v>
      </c>
      <c r="C32" s="9">
        <v>0.692</v>
      </c>
      <c r="D32" s="7">
        <v>9.9</v>
      </c>
      <c r="E32" s="7">
        <f>+4.2</f>
        <v>4.2</v>
      </c>
    </row>
    <row r="33">
      <c r="A33" s="8" t="s">
        <v>77</v>
      </c>
      <c r="B33" s="5" t="s">
        <v>46</v>
      </c>
      <c r="C33" s="9">
        <v>0.692</v>
      </c>
      <c r="D33" s="7">
        <v>2.6</v>
      </c>
      <c r="E33" s="7">
        <v>-4.7</v>
      </c>
    </row>
    <row r="34">
      <c r="A34" s="8" t="s">
        <v>36</v>
      </c>
      <c r="B34" s="5" t="s">
        <v>46</v>
      </c>
      <c r="C34" s="9">
        <v>0.692</v>
      </c>
      <c r="D34" s="7">
        <v>12.4</v>
      </c>
      <c r="E34" s="7">
        <v>-1.8</v>
      </c>
    </row>
    <row r="35">
      <c r="A35" s="8" t="s">
        <v>62</v>
      </c>
      <c r="B35" s="5" t="s">
        <v>46</v>
      </c>
      <c r="C35" s="9">
        <v>0.692</v>
      </c>
      <c r="D35" s="7">
        <v>18.8</v>
      </c>
      <c r="E35" s="7">
        <v>-2.3</v>
      </c>
    </row>
    <row r="36">
      <c r="A36" s="8" t="s">
        <v>38</v>
      </c>
      <c r="B36" s="5" t="s">
        <v>46</v>
      </c>
      <c r="C36" s="9">
        <v>0.692</v>
      </c>
      <c r="D36" s="7">
        <v>5.2</v>
      </c>
      <c r="E36" s="7">
        <f>+3.7</f>
        <v>3.7</v>
      </c>
    </row>
    <row r="37">
      <c r="A37" s="8" t="s">
        <v>24</v>
      </c>
      <c r="B37" s="5" t="s">
        <v>46</v>
      </c>
      <c r="C37" s="9">
        <v>0.692</v>
      </c>
      <c r="D37" s="7">
        <v>5.9</v>
      </c>
      <c r="E37" s="4">
        <f>+1.1</f>
        <v>1.1</v>
      </c>
    </row>
    <row r="38">
      <c r="A38" s="8" t="s">
        <v>19</v>
      </c>
      <c r="B38" s="5" t="s">
        <v>46</v>
      </c>
      <c r="C38" s="9">
        <v>0.692</v>
      </c>
      <c r="D38" s="7">
        <v>10.0</v>
      </c>
      <c r="E38" s="7">
        <f>+3.7</f>
        <v>3.7</v>
      </c>
    </row>
    <row r="39">
      <c r="A39" s="8" t="s">
        <v>25</v>
      </c>
      <c r="B39" s="5" t="s">
        <v>46</v>
      </c>
      <c r="C39" s="9">
        <v>0.692</v>
      </c>
      <c r="D39" s="7">
        <v>15.8</v>
      </c>
      <c r="E39" s="7">
        <f>+6</f>
        <v>6</v>
      </c>
    </row>
    <row r="40">
      <c r="A40" s="8" t="s">
        <v>42</v>
      </c>
      <c r="B40" s="5" t="s">
        <v>46</v>
      </c>
      <c r="C40" s="9">
        <v>0.692</v>
      </c>
      <c r="D40" s="7">
        <v>3.8</v>
      </c>
      <c r="E40" s="7">
        <f>+3.4</f>
        <v>3.4</v>
      </c>
    </row>
    <row r="41">
      <c r="A41" s="8" t="s">
        <v>75</v>
      </c>
      <c r="B41" s="5" t="s">
        <v>49</v>
      </c>
      <c r="C41" s="9">
        <v>0.667</v>
      </c>
      <c r="D41" s="7">
        <v>12.6</v>
      </c>
      <c r="E41" s="7">
        <f>+2</f>
        <v>2</v>
      </c>
    </row>
    <row r="42">
      <c r="A42" s="8" t="s">
        <v>74</v>
      </c>
      <c r="B42" s="5" t="s">
        <v>224</v>
      </c>
      <c r="C42" s="9">
        <v>0.643</v>
      </c>
      <c r="D42" s="7">
        <v>10.7</v>
      </c>
      <c r="E42" s="7">
        <f>+1.1</f>
        <v>1.1</v>
      </c>
    </row>
    <row r="43">
      <c r="A43" s="8" t="s">
        <v>26</v>
      </c>
      <c r="B43" s="5" t="s">
        <v>224</v>
      </c>
      <c r="C43" s="9">
        <v>0.643</v>
      </c>
      <c r="D43" s="7">
        <v>6.9</v>
      </c>
      <c r="E43" s="7">
        <f>+5.6</f>
        <v>5.6</v>
      </c>
    </row>
    <row r="44">
      <c r="A44" s="8" t="s">
        <v>7</v>
      </c>
      <c r="B44" s="5" t="s">
        <v>69</v>
      </c>
      <c r="C44" s="9">
        <v>0.615</v>
      </c>
      <c r="D44" s="7">
        <v>0.5</v>
      </c>
      <c r="E44" s="7">
        <v>-6.0</v>
      </c>
    </row>
    <row r="45">
      <c r="A45" s="8" t="s">
        <v>110</v>
      </c>
      <c r="B45" s="5" t="s">
        <v>69</v>
      </c>
      <c r="C45" s="9">
        <v>0.615</v>
      </c>
      <c r="D45" s="7">
        <v>14.2</v>
      </c>
      <c r="E45" s="7">
        <f>+4.4</f>
        <v>4.4</v>
      </c>
    </row>
    <row r="46">
      <c r="A46" s="8" t="s">
        <v>56</v>
      </c>
      <c r="B46" s="5" t="s">
        <v>69</v>
      </c>
      <c r="C46" s="9">
        <v>0.615</v>
      </c>
      <c r="D46" s="7">
        <v>6.1</v>
      </c>
      <c r="E46" s="7">
        <f>+3.5</f>
        <v>3.5</v>
      </c>
    </row>
    <row r="47">
      <c r="A47" s="8" t="s">
        <v>14</v>
      </c>
      <c r="B47" s="5" t="s">
        <v>69</v>
      </c>
      <c r="C47" s="9">
        <v>0.615</v>
      </c>
      <c r="D47" s="7">
        <v>10.3</v>
      </c>
      <c r="E47" s="7">
        <v>-1.5</v>
      </c>
    </row>
    <row r="48">
      <c r="A48" s="8" t="s">
        <v>61</v>
      </c>
      <c r="B48" s="5" t="s">
        <v>69</v>
      </c>
      <c r="C48" s="9">
        <v>0.615</v>
      </c>
      <c r="D48" s="7">
        <v>10.0</v>
      </c>
      <c r="E48" s="7">
        <f>+4.4</f>
        <v>4.4</v>
      </c>
    </row>
    <row r="49">
      <c r="A49" s="8" t="s">
        <v>85</v>
      </c>
      <c r="B49" s="5" t="s">
        <v>69</v>
      </c>
      <c r="C49" s="9">
        <v>0.615</v>
      </c>
      <c r="D49" s="7">
        <v>10.1</v>
      </c>
      <c r="E49" s="7">
        <f>+3.7</f>
        <v>3.7</v>
      </c>
    </row>
    <row r="50">
      <c r="A50" s="8" t="s">
        <v>144</v>
      </c>
      <c r="B50" s="5" t="s">
        <v>69</v>
      </c>
      <c r="C50" s="9">
        <v>0.615</v>
      </c>
      <c r="D50" s="7">
        <v>3.9</v>
      </c>
      <c r="E50" s="7">
        <v>-6.4</v>
      </c>
    </row>
    <row r="51">
      <c r="A51" s="8" t="s">
        <v>95</v>
      </c>
      <c r="B51" s="5" t="s">
        <v>69</v>
      </c>
      <c r="C51" s="9">
        <v>0.615</v>
      </c>
      <c r="D51" s="7">
        <v>5.8</v>
      </c>
      <c r="E51" s="7">
        <f>+2.1</f>
        <v>2.1</v>
      </c>
    </row>
    <row r="52">
      <c r="A52" s="8" t="s">
        <v>96</v>
      </c>
      <c r="B52" s="5" t="s">
        <v>69</v>
      </c>
      <c r="C52" s="9">
        <v>0.615</v>
      </c>
      <c r="D52" s="7">
        <v>11.8</v>
      </c>
      <c r="E52" s="7">
        <f>+4.6</f>
        <v>4.6</v>
      </c>
    </row>
    <row r="53">
      <c r="A53" s="8" t="s">
        <v>132</v>
      </c>
      <c r="B53" s="5" t="s">
        <v>69</v>
      </c>
      <c r="C53" s="9">
        <v>0.615</v>
      </c>
      <c r="D53" s="7">
        <v>7.4</v>
      </c>
      <c r="E53" s="7">
        <f>+1.2</f>
        <v>1.2</v>
      </c>
    </row>
    <row r="54">
      <c r="A54" s="8" t="s">
        <v>66</v>
      </c>
      <c r="B54" s="5" t="s">
        <v>69</v>
      </c>
      <c r="C54" s="9">
        <v>0.615</v>
      </c>
      <c r="D54" s="7">
        <v>5.7</v>
      </c>
      <c r="E54" s="7">
        <f>+1.5</f>
        <v>1.5</v>
      </c>
    </row>
    <row r="55">
      <c r="A55" s="8" t="s">
        <v>50</v>
      </c>
      <c r="B55" s="5" t="s">
        <v>244</v>
      </c>
      <c r="C55" s="9">
        <v>0.571</v>
      </c>
      <c r="D55" s="7">
        <v>3.6</v>
      </c>
      <c r="E55" s="7">
        <f>+1.6</f>
        <v>1.6</v>
      </c>
    </row>
    <row r="56">
      <c r="A56" s="8" t="s">
        <v>130</v>
      </c>
      <c r="B56" s="5" t="s">
        <v>244</v>
      </c>
      <c r="C56" s="9">
        <v>0.571</v>
      </c>
      <c r="D56" s="7">
        <v>1.9</v>
      </c>
      <c r="E56" s="7">
        <f>+4.8</f>
        <v>4.8</v>
      </c>
    </row>
    <row r="57">
      <c r="A57" s="8" t="s">
        <v>118</v>
      </c>
      <c r="B57" s="5" t="s">
        <v>88</v>
      </c>
      <c r="C57" s="9">
        <v>0.539</v>
      </c>
      <c r="D57" s="7">
        <v>-0.2</v>
      </c>
      <c r="E57" s="7">
        <f>+3.1</f>
        <v>3.1</v>
      </c>
    </row>
    <row r="58">
      <c r="A58" s="8" t="s">
        <v>109</v>
      </c>
      <c r="B58" s="5" t="s">
        <v>88</v>
      </c>
      <c r="C58" s="9">
        <v>0.539</v>
      </c>
      <c r="D58" s="7">
        <v>-1.3</v>
      </c>
      <c r="E58" s="7">
        <f>+1.5</f>
        <v>1.5</v>
      </c>
    </row>
    <row r="59">
      <c r="A59" s="8" t="s">
        <v>150</v>
      </c>
      <c r="B59" s="5" t="s">
        <v>88</v>
      </c>
      <c r="C59" s="9">
        <v>0.539</v>
      </c>
      <c r="D59" s="7">
        <v>-0.8</v>
      </c>
      <c r="E59" s="7">
        <v>-3.6</v>
      </c>
    </row>
    <row r="60">
      <c r="A60" s="8" t="s">
        <v>89</v>
      </c>
      <c r="B60" s="5" t="s">
        <v>88</v>
      </c>
      <c r="C60" s="9">
        <v>0.539</v>
      </c>
      <c r="D60" s="7">
        <v>3.8</v>
      </c>
      <c r="E60" s="7">
        <f>+4.4</f>
        <v>4.4</v>
      </c>
    </row>
    <row r="61">
      <c r="A61" s="8" t="s">
        <v>113</v>
      </c>
      <c r="B61" s="5" t="s">
        <v>88</v>
      </c>
      <c r="C61" s="9">
        <v>0.539</v>
      </c>
      <c r="D61" s="7">
        <v>5.6</v>
      </c>
      <c r="E61" s="7">
        <v>-5.8</v>
      </c>
    </row>
    <row r="62">
      <c r="A62" s="8" t="s">
        <v>79</v>
      </c>
      <c r="B62" s="5" t="s">
        <v>88</v>
      </c>
      <c r="C62" s="9">
        <v>0.539</v>
      </c>
      <c r="D62" s="7">
        <v>3.3</v>
      </c>
      <c r="E62" s="7">
        <v>-6.4</v>
      </c>
    </row>
    <row r="63">
      <c r="A63" s="8" t="s">
        <v>152</v>
      </c>
      <c r="B63" s="5" t="s">
        <v>88</v>
      </c>
      <c r="C63" s="9">
        <v>0.539</v>
      </c>
      <c r="D63" s="7">
        <v>4.9</v>
      </c>
      <c r="E63" s="7">
        <f>+5.2</f>
        <v>5.2</v>
      </c>
    </row>
    <row r="64">
      <c r="A64" s="8" t="s">
        <v>65</v>
      </c>
      <c r="B64" s="5" t="s">
        <v>88</v>
      </c>
      <c r="C64" s="9">
        <v>0.539</v>
      </c>
      <c r="D64" s="7">
        <v>-1.8</v>
      </c>
      <c r="E64" s="7">
        <f>+3.3</f>
        <v>3.3</v>
      </c>
    </row>
    <row r="65">
      <c r="A65" s="8" t="s">
        <v>82</v>
      </c>
      <c r="B65" s="5" t="s">
        <v>88</v>
      </c>
      <c r="C65" s="9">
        <v>0.539</v>
      </c>
      <c r="D65" s="7">
        <v>4.2</v>
      </c>
      <c r="E65" s="7">
        <f>+0.5</f>
        <v>0.5</v>
      </c>
    </row>
    <row r="66">
      <c r="A66" s="8" t="s">
        <v>154</v>
      </c>
      <c r="B66" s="5" t="s">
        <v>88</v>
      </c>
      <c r="C66" s="9">
        <v>0.539</v>
      </c>
      <c r="D66" s="7">
        <v>-4.6</v>
      </c>
      <c r="E66" s="7">
        <v>-3.5</v>
      </c>
    </row>
    <row r="67">
      <c r="A67" s="8" t="s">
        <v>52</v>
      </c>
      <c r="B67" s="5" t="s">
        <v>347</v>
      </c>
      <c r="C67" s="9">
        <v>0.5</v>
      </c>
      <c r="D67" s="7">
        <v>-9.0</v>
      </c>
      <c r="E67" s="7">
        <v>-0.2</v>
      </c>
    </row>
    <row r="68">
      <c r="A68" s="8" t="s">
        <v>72</v>
      </c>
      <c r="B68" s="5" t="s">
        <v>261</v>
      </c>
      <c r="C68" s="9">
        <v>0.462</v>
      </c>
      <c r="D68" s="7">
        <v>-4.0</v>
      </c>
      <c r="E68" s="7">
        <v>-6.6</v>
      </c>
    </row>
    <row r="69">
      <c r="A69" s="8" t="s">
        <v>87</v>
      </c>
      <c r="B69" s="5" t="s">
        <v>261</v>
      </c>
      <c r="C69" s="9">
        <v>0.462</v>
      </c>
      <c r="D69" s="7">
        <v>-0.9</v>
      </c>
      <c r="E69" s="4">
        <f>+4.4</f>
        <v>4.4</v>
      </c>
    </row>
    <row r="70">
      <c r="A70" s="8" t="s">
        <v>106</v>
      </c>
      <c r="B70" s="5" t="s">
        <v>261</v>
      </c>
      <c r="C70" s="9">
        <v>0.462</v>
      </c>
      <c r="D70" s="7">
        <v>4.2</v>
      </c>
      <c r="E70" s="7">
        <f t="shared" ref="E70:E71" si="2">+3.7</f>
        <v>3.7</v>
      </c>
    </row>
    <row r="71">
      <c r="A71" s="8" t="s">
        <v>22</v>
      </c>
      <c r="B71" s="5" t="s">
        <v>261</v>
      </c>
      <c r="C71" s="9">
        <v>0.462</v>
      </c>
      <c r="D71" s="7">
        <v>-1.0</v>
      </c>
      <c r="E71" s="7">
        <f t="shared" si="2"/>
        <v>3.7</v>
      </c>
    </row>
    <row r="72">
      <c r="A72" s="8" t="s">
        <v>123</v>
      </c>
      <c r="B72" s="5" t="s">
        <v>261</v>
      </c>
      <c r="C72" s="9">
        <v>0.462</v>
      </c>
      <c r="D72" s="7">
        <v>-5.7</v>
      </c>
      <c r="E72" s="7">
        <v>-1.8</v>
      </c>
    </row>
    <row r="73">
      <c r="A73" s="8" t="s">
        <v>111</v>
      </c>
      <c r="B73" s="5" t="s">
        <v>261</v>
      </c>
      <c r="C73" s="9">
        <v>0.462</v>
      </c>
      <c r="D73" s="7">
        <v>-1.4</v>
      </c>
      <c r="E73" s="7">
        <v>-3.9</v>
      </c>
    </row>
    <row r="74">
      <c r="A74" s="8" t="s">
        <v>5</v>
      </c>
      <c r="B74" s="5" t="s">
        <v>261</v>
      </c>
      <c r="C74" s="9">
        <v>0.462</v>
      </c>
      <c r="D74" s="7">
        <v>-1.5</v>
      </c>
      <c r="E74" s="7">
        <v>-1.1</v>
      </c>
    </row>
    <row r="75">
      <c r="A75" s="8" t="s">
        <v>60</v>
      </c>
      <c r="B75" s="5" t="s">
        <v>261</v>
      </c>
      <c r="C75" s="9">
        <v>0.462</v>
      </c>
      <c r="D75" s="7">
        <v>3.0</v>
      </c>
      <c r="E75" s="7">
        <v>-6.6</v>
      </c>
    </row>
    <row r="76">
      <c r="A76" s="8" t="s">
        <v>93</v>
      </c>
      <c r="B76" s="5" t="s">
        <v>261</v>
      </c>
      <c r="C76" s="9">
        <v>0.462</v>
      </c>
      <c r="D76" s="7">
        <v>-1.7</v>
      </c>
      <c r="E76" s="7">
        <f>+1.8</f>
        <v>1.8</v>
      </c>
    </row>
    <row r="77">
      <c r="A77" s="8" t="s">
        <v>133</v>
      </c>
      <c r="B77" s="5" t="s">
        <v>261</v>
      </c>
      <c r="C77" s="9">
        <v>0.462</v>
      </c>
      <c r="D77" s="7">
        <v>-3.8</v>
      </c>
      <c r="E77" s="7">
        <v>-6.0</v>
      </c>
    </row>
    <row r="78">
      <c r="A78" s="8" t="s">
        <v>137</v>
      </c>
      <c r="B78" s="5" t="s">
        <v>261</v>
      </c>
      <c r="C78" s="9">
        <v>0.462</v>
      </c>
      <c r="D78" s="7">
        <v>-1.6</v>
      </c>
      <c r="E78" s="7">
        <f>+0.7</f>
        <v>0.7</v>
      </c>
    </row>
    <row r="79">
      <c r="A79" s="8" t="s">
        <v>101</v>
      </c>
      <c r="B79" s="5" t="s">
        <v>261</v>
      </c>
      <c r="C79" s="9">
        <v>0.462</v>
      </c>
      <c r="D79" s="7">
        <v>1.2</v>
      </c>
      <c r="E79" s="7">
        <f>+6.8</f>
        <v>6.8</v>
      </c>
    </row>
    <row r="80">
      <c r="A80" s="8" t="s">
        <v>138</v>
      </c>
      <c r="B80" s="5" t="s">
        <v>103</v>
      </c>
      <c r="C80" s="9">
        <v>0.417</v>
      </c>
      <c r="D80" s="7">
        <v>0.2</v>
      </c>
      <c r="E80" s="7">
        <v>-0.8</v>
      </c>
    </row>
    <row r="81">
      <c r="A81" s="8" t="s">
        <v>102</v>
      </c>
      <c r="B81" s="5" t="s">
        <v>103</v>
      </c>
      <c r="C81" s="9">
        <v>0.417</v>
      </c>
      <c r="D81" s="7">
        <v>-6.2</v>
      </c>
      <c r="E81" s="7">
        <v>-5.7</v>
      </c>
    </row>
    <row r="82">
      <c r="A82" s="8" t="s">
        <v>140</v>
      </c>
      <c r="B82" s="5" t="s">
        <v>103</v>
      </c>
      <c r="C82" s="9">
        <v>0.417</v>
      </c>
      <c r="D82" s="7">
        <v>-3.6</v>
      </c>
      <c r="E82" s="7">
        <f>+0.5</f>
        <v>0.5</v>
      </c>
    </row>
    <row r="83">
      <c r="A83" s="8" t="s">
        <v>51</v>
      </c>
      <c r="B83" s="5" t="s">
        <v>103</v>
      </c>
      <c r="C83" s="9">
        <v>0.417</v>
      </c>
      <c r="D83" s="7">
        <v>-8.6</v>
      </c>
      <c r="E83" s="7">
        <f>+0.9</f>
        <v>0.9</v>
      </c>
    </row>
    <row r="84">
      <c r="A84" s="8" t="s">
        <v>12</v>
      </c>
      <c r="B84" s="5" t="s">
        <v>103</v>
      </c>
      <c r="C84" s="9">
        <v>0.417</v>
      </c>
      <c r="D84" s="7">
        <v>-1.4</v>
      </c>
      <c r="E84" s="7">
        <v>-8.8</v>
      </c>
    </row>
    <row r="85">
      <c r="A85" s="8" t="s">
        <v>35</v>
      </c>
      <c r="B85" s="5" t="s">
        <v>103</v>
      </c>
      <c r="C85" s="9">
        <v>0.417</v>
      </c>
      <c r="D85" s="7">
        <v>0.4</v>
      </c>
      <c r="E85" s="7">
        <v>-4.9</v>
      </c>
    </row>
    <row r="86">
      <c r="A86" s="8" t="s">
        <v>10</v>
      </c>
      <c r="B86" s="5" t="s">
        <v>103</v>
      </c>
      <c r="C86" s="9">
        <v>0.417</v>
      </c>
      <c r="D86" s="7">
        <v>0.2</v>
      </c>
      <c r="E86" s="7">
        <v>-2.0</v>
      </c>
    </row>
    <row r="87">
      <c r="A87" s="8" t="s">
        <v>64</v>
      </c>
      <c r="B87" s="5" t="s">
        <v>103</v>
      </c>
      <c r="C87" s="9">
        <v>0.417</v>
      </c>
      <c r="D87" s="7">
        <v>-6.5</v>
      </c>
      <c r="E87" s="7">
        <v>-4.4</v>
      </c>
    </row>
    <row r="88">
      <c r="A88" s="8" t="s">
        <v>80</v>
      </c>
      <c r="B88" s="5" t="s">
        <v>103</v>
      </c>
      <c r="C88" s="9">
        <v>0.417</v>
      </c>
      <c r="D88" s="7">
        <v>-5.5</v>
      </c>
      <c r="E88" s="7">
        <v>-0.9</v>
      </c>
    </row>
    <row r="89">
      <c r="A89" s="8" t="s">
        <v>99</v>
      </c>
      <c r="B89" s="5" t="s">
        <v>103</v>
      </c>
      <c r="C89" s="9">
        <v>0.417</v>
      </c>
      <c r="D89" s="7">
        <v>0.1</v>
      </c>
      <c r="E89" s="7">
        <v>-5.5</v>
      </c>
    </row>
    <row r="90">
      <c r="A90" s="8" t="s">
        <v>18</v>
      </c>
      <c r="B90" s="5" t="s">
        <v>296</v>
      </c>
      <c r="C90" s="9">
        <v>0.385</v>
      </c>
      <c r="D90" s="7">
        <v>-7.8</v>
      </c>
      <c r="E90" s="7">
        <f>+3.5</f>
        <v>3.5</v>
      </c>
    </row>
    <row r="91">
      <c r="A91" s="8" t="s">
        <v>120</v>
      </c>
      <c r="B91" s="5" t="s">
        <v>119</v>
      </c>
      <c r="C91" s="9">
        <v>0.333</v>
      </c>
      <c r="D91" s="7">
        <v>-3.1</v>
      </c>
      <c r="E91" s="7">
        <f>+0.8</f>
        <v>0.8</v>
      </c>
    </row>
    <row r="92">
      <c r="A92" s="8" t="s">
        <v>121</v>
      </c>
      <c r="B92" s="5" t="s">
        <v>119</v>
      </c>
      <c r="C92" s="9">
        <v>0.333</v>
      </c>
      <c r="D92" s="7">
        <v>-13.5</v>
      </c>
      <c r="E92" s="7">
        <v>-6.1</v>
      </c>
    </row>
    <row r="93">
      <c r="A93" s="8" t="s">
        <v>141</v>
      </c>
      <c r="B93" s="5" t="s">
        <v>119</v>
      </c>
      <c r="C93" s="9">
        <v>0.333</v>
      </c>
      <c r="D93" s="7">
        <v>-10.3</v>
      </c>
      <c r="E93" s="7">
        <v>-5.5</v>
      </c>
    </row>
    <row r="94">
      <c r="A94" s="8" t="s">
        <v>148</v>
      </c>
      <c r="B94" s="5" t="s">
        <v>119</v>
      </c>
      <c r="C94" s="9">
        <v>0.333</v>
      </c>
      <c r="D94" s="7">
        <v>-8.6</v>
      </c>
      <c r="E94" s="7">
        <v>-3.9</v>
      </c>
    </row>
    <row r="95">
      <c r="A95" s="8" t="s">
        <v>20</v>
      </c>
      <c r="B95" s="5" t="s">
        <v>119</v>
      </c>
      <c r="C95" s="9">
        <v>0.333</v>
      </c>
      <c r="D95" s="7">
        <v>3.1</v>
      </c>
      <c r="E95" s="7">
        <v>-3.6</v>
      </c>
    </row>
    <row r="96">
      <c r="A96" s="8" t="s">
        <v>58</v>
      </c>
      <c r="B96" s="5" t="s">
        <v>119</v>
      </c>
      <c r="C96" s="9">
        <v>0.333</v>
      </c>
      <c r="D96" s="7">
        <v>-0.1</v>
      </c>
      <c r="E96" s="7">
        <v>-1.5</v>
      </c>
    </row>
    <row r="97">
      <c r="A97" s="8" t="s">
        <v>78</v>
      </c>
      <c r="B97" s="5" t="s">
        <v>119</v>
      </c>
      <c r="C97" s="9">
        <v>0.333</v>
      </c>
      <c r="D97" s="7">
        <v>-7.6</v>
      </c>
      <c r="E97" s="7">
        <v>-6.5</v>
      </c>
    </row>
    <row r="98">
      <c r="A98" s="8" t="s">
        <v>16</v>
      </c>
      <c r="B98" s="5" t="s">
        <v>119</v>
      </c>
      <c r="C98" s="9">
        <v>0.333</v>
      </c>
      <c r="D98" s="7">
        <v>-3.6</v>
      </c>
      <c r="E98" s="7">
        <f>+1.8</f>
        <v>1.8</v>
      </c>
    </row>
    <row r="99">
      <c r="A99" s="8" t="s">
        <v>143</v>
      </c>
      <c r="B99" s="5" t="s">
        <v>119</v>
      </c>
      <c r="C99" s="9">
        <v>0.333</v>
      </c>
      <c r="D99" s="7">
        <v>-15.8</v>
      </c>
      <c r="E99" s="7">
        <v>-1.7</v>
      </c>
    </row>
    <row r="100">
      <c r="A100" s="8" t="s">
        <v>30</v>
      </c>
      <c r="B100" s="5" t="s">
        <v>119</v>
      </c>
      <c r="C100" s="9">
        <v>0.333</v>
      </c>
      <c r="D100" s="7">
        <v>-5.2</v>
      </c>
      <c r="E100" s="7">
        <v>-3.3</v>
      </c>
    </row>
    <row r="101">
      <c r="A101" s="8" t="s">
        <v>153</v>
      </c>
      <c r="B101" s="5" t="s">
        <v>119</v>
      </c>
      <c r="C101" s="9">
        <v>0.333</v>
      </c>
      <c r="D101" s="7">
        <v>-4.3</v>
      </c>
      <c r="E101" s="7">
        <f>+4.2</f>
        <v>4.2</v>
      </c>
    </row>
    <row r="102">
      <c r="A102" s="8" t="s">
        <v>15</v>
      </c>
      <c r="B102" s="5" t="s">
        <v>119</v>
      </c>
      <c r="C102" s="9">
        <v>0.333</v>
      </c>
      <c r="D102" s="7">
        <v>-6.0</v>
      </c>
      <c r="E102" s="7">
        <v>-10.9</v>
      </c>
    </row>
    <row r="103">
      <c r="A103" s="8" t="s">
        <v>145</v>
      </c>
      <c r="B103" s="5" t="s">
        <v>119</v>
      </c>
      <c r="C103" s="9">
        <v>0.333</v>
      </c>
      <c r="D103" s="7">
        <v>-2.6</v>
      </c>
      <c r="E103" s="7">
        <v>-4.5</v>
      </c>
    </row>
    <row r="104">
      <c r="A104" s="8" t="s">
        <v>70</v>
      </c>
      <c r="B104" s="5" t="s">
        <v>119</v>
      </c>
      <c r="C104" s="9">
        <v>0.333</v>
      </c>
      <c r="D104" s="7">
        <v>-4.8</v>
      </c>
      <c r="E104" s="7">
        <f>+0.5</f>
        <v>0.5</v>
      </c>
    </row>
    <row r="105">
      <c r="A105" s="8" t="s">
        <v>147</v>
      </c>
      <c r="B105" s="5" t="s">
        <v>119</v>
      </c>
      <c r="C105" s="9">
        <v>0.333</v>
      </c>
      <c r="D105" s="7">
        <v>-12.9</v>
      </c>
      <c r="E105" s="7">
        <v>-1.7</v>
      </c>
    </row>
    <row r="106">
      <c r="A106" s="8" t="s">
        <v>83</v>
      </c>
      <c r="B106" s="5" t="s">
        <v>119</v>
      </c>
      <c r="C106" s="9">
        <v>0.333</v>
      </c>
      <c r="D106" s="7">
        <v>-10.8</v>
      </c>
      <c r="E106" s="7">
        <v>-0.6</v>
      </c>
    </row>
    <row r="107">
      <c r="A107" s="8" t="s">
        <v>159</v>
      </c>
      <c r="B107" s="5" t="s">
        <v>119</v>
      </c>
      <c r="C107" s="9">
        <v>0.333</v>
      </c>
      <c r="D107" s="7">
        <v>-9.4</v>
      </c>
      <c r="E107" s="7">
        <v>-0.1</v>
      </c>
    </row>
    <row r="108">
      <c r="A108" s="8" t="s">
        <v>105</v>
      </c>
      <c r="B108" s="5" t="s">
        <v>139</v>
      </c>
      <c r="C108" s="9">
        <v>0.25</v>
      </c>
      <c r="D108" s="7">
        <v>-8.8</v>
      </c>
      <c r="E108" s="7">
        <v>-7.7</v>
      </c>
    </row>
    <row r="109">
      <c r="A109" s="8" t="s">
        <v>107</v>
      </c>
      <c r="B109" s="5" t="s">
        <v>139</v>
      </c>
      <c r="C109" s="9">
        <v>0.25</v>
      </c>
      <c r="D109" s="7">
        <v>-8.1</v>
      </c>
      <c r="E109" s="7">
        <v>-1.4</v>
      </c>
    </row>
    <row r="110">
      <c r="A110" s="8" t="s">
        <v>108</v>
      </c>
      <c r="B110" s="5" t="s">
        <v>139</v>
      </c>
      <c r="C110" s="9">
        <v>0.25</v>
      </c>
      <c r="D110" s="7">
        <v>-12.1</v>
      </c>
      <c r="E110" s="7">
        <v>-1.2</v>
      </c>
    </row>
    <row r="111">
      <c r="A111" s="8" t="s">
        <v>126</v>
      </c>
      <c r="B111" s="5" t="s">
        <v>139</v>
      </c>
      <c r="C111" s="9">
        <v>0.25</v>
      </c>
      <c r="D111" s="7">
        <v>-3.7</v>
      </c>
      <c r="E111" s="7">
        <v>-5.5</v>
      </c>
    </row>
    <row r="112">
      <c r="A112" s="8" t="s">
        <v>151</v>
      </c>
      <c r="B112" s="5" t="s">
        <v>139</v>
      </c>
      <c r="C112" s="9">
        <v>0.25</v>
      </c>
      <c r="D112" s="7">
        <v>-13.7</v>
      </c>
      <c r="E112" s="7">
        <v>-2.9</v>
      </c>
    </row>
    <row r="113">
      <c r="A113" s="8" t="s">
        <v>55</v>
      </c>
      <c r="B113" s="5" t="s">
        <v>139</v>
      </c>
      <c r="C113" s="9">
        <v>0.25</v>
      </c>
      <c r="D113" s="7">
        <v>-12.3</v>
      </c>
      <c r="E113" s="7">
        <v>-4.6</v>
      </c>
    </row>
    <row r="114">
      <c r="A114" s="8" t="s">
        <v>57</v>
      </c>
      <c r="B114" s="5" t="s">
        <v>139</v>
      </c>
      <c r="C114" s="9">
        <v>0.25</v>
      </c>
      <c r="D114" s="7">
        <v>-3.7</v>
      </c>
      <c r="E114" s="7">
        <f>+4.5</f>
        <v>4.5</v>
      </c>
    </row>
    <row r="115">
      <c r="A115" s="8" t="s">
        <v>59</v>
      </c>
      <c r="B115" s="5" t="s">
        <v>139</v>
      </c>
      <c r="C115" s="9">
        <v>0.25</v>
      </c>
      <c r="D115" s="7">
        <v>-9.1</v>
      </c>
      <c r="E115" s="7">
        <v>-5.2</v>
      </c>
    </row>
    <row r="116">
      <c r="A116" s="8" t="s">
        <v>94</v>
      </c>
      <c r="B116" s="5" t="s">
        <v>139</v>
      </c>
      <c r="C116" s="9">
        <v>0.25</v>
      </c>
      <c r="D116" s="7">
        <v>-5.4</v>
      </c>
      <c r="E116" s="7">
        <v>-4.5</v>
      </c>
    </row>
    <row r="117">
      <c r="A117" s="8" t="s">
        <v>128</v>
      </c>
      <c r="B117" s="5" t="s">
        <v>139</v>
      </c>
      <c r="C117" s="9">
        <v>0.25</v>
      </c>
      <c r="D117" s="7">
        <v>-14.0</v>
      </c>
      <c r="E117" s="7">
        <v>-0.1</v>
      </c>
    </row>
    <row r="118">
      <c r="A118" s="8" t="s">
        <v>40</v>
      </c>
      <c r="B118" s="5" t="s">
        <v>139</v>
      </c>
      <c r="C118" s="9">
        <v>0.25</v>
      </c>
      <c r="D118" s="7">
        <v>-13.6</v>
      </c>
      <c r="E118" s="7">
        <v>-11.5</v>
      </c>
    </row>
    <row r="119">
      <c r="A119" s="8" t="s">
        <v>43</v>
      </c>
      <c r="B119" s="5" t="s">
        <v>139</v>
      </c>
      <c r="C119" s="9">
        <v>0.25</v>
      </c>
      <c r="D119" s="7">
        <v>-13.3</v>
      </c>
      <c r="E119" s="7">
        <v>-8.8</v>
      </c>
    </row>
    <row r="120">
      <c r="A120" s="8" t="s">
        <v>135</v>
      </c>
      <c r="B120" s="5" t="s">
        <v>139</v>
      </c>
      <c r="C120" s="9">
        <v>0.25</v>
      </c>
      <c r="D120" s="7">
        <v>-13.3</v>
      </c>
      <c r="E120" s="7">
        <v>-6.1</v>
      </c>
    </row>
    <row r="121">
      <c r="A121" s="8" t="s">
        <v>158</v>
      </c>
      <c r="B121" s="5" t="s">
        <v>139</v>
      </c>
      <c r="C121" s="9">
        <v>0.25</v>
      </c>
      <c r="D121" s="7">
        <v>-6.7</v>
      </c>
      <c r="E121" s="7">
        <v>-0.6</v>
      </c>
    </row>
    <row r="122">
      <c r="A122" s="8" t="s">
        <v>104</v>
      </c>
      <c r="B122" s="5" t="s">
        <v>149</v>
      </c>
      <c r="C122" s="9">
        <v>0.167</v>
      </c>
      <c r="D122" s="7">
        <v>-15.8</v>
      </c>
      <c r="E122" s="7">
        <v>-3.0</v>
      </c>
    </row>
    <row r="123">
      <c r="A123" s="8" t="s">
        <v>112</v>
      </c>
      <c r="B123" s="5" t="s">
        <v>149</v>
      </c>
      <c r="C123" s="9">
        <v>0.167</v>
      </c>
      <c r="D123" s="7">
        <v>-17.1</v>
      </c>
      <c r="E123" s="7">
        <f>+1.6</f>
        <v>1.6</v>
      </c>
    </row>
    <row r="124">
      <c r="A124" s="8" t="s">
        <v>31</v>
      </c>
      <c r="B124" s="5" t="s">
        <v>149</v>
      </c>
      <c r="C124" s="9">
        <v>0.167</v>
      </c>
      <c r="D124" s="7">
        <v>-11.3</v>
      </c>
      <c r="E124" s="7">
        <v>-2.3</v>
      </c>
    </row>
    <row r="125">
      <c r="A125" s="8" t="s">
        <v>116</v>
      </c>
      <c r="B125" s="5" t="s">
        <v>149</v>
      </c>
      <c r="C125" s="9">
        <v>0.167</v>
      </c>
      <c r="D125" s="7">
        <v>-21.8</v>
      </c>
      <c r="E125" s="7">
        <v>-9.3</v>
      </c>
    </row>
    <row r="126">
      <c r="A126" s="8" t="s">
        <v>160</v>
      </c>
      <c r="B126" s="5" t="s">
        <v>149</v>
      </c>
      <c r="C126" s="9">
        <v>0.167</v>
      </c>
      <c r="D126" s="7">
        <v>-12.2</v>
      </c>
      <c r="E126" s="7">
        <f>+1.7</f>
        <v>1.7</v>
      </c>
    </row>
    <row r="127">
      <c r="A127" s="8" t="s">
        <v>98</v>
      </c>
      <c r="B127" s="5" t="s">
        <v>149</v>
      </c>
      <c r="C127" s="9">
        <v>0.167</v>
      </c>
      <c r="D127" s="7">
        <v>-22.5</v>
      </c>
      <c r="E127" s="7">
        <v>-6.5</v>
      </c>
    </row>
    <row r="128">
      <c r="A128" s="8" t="s">
        <v>53</v>
      </c>
      <c r="B128" s="5" t="s">
        <v>157</v>
      </c>
      <c r="C128" s="9">
        <v>0.083</v>
      </c>
      <c r="D128" s="7">
        <v>-13.3</v>
      </c>
      <c r="E128" s="7">
        <v>-2.3</v>
      </c>
    </row>
    <row r="129">
      <c r="A129" s="8" t="s">
        <v>97</v>
      </c>
      <c r="B129" s="5" t="s">
        <v>338</v>
      </c>
      <c r="C129" s="9">
        <v>0.0</v>
      </c>
      <c r="D129" s="7">
        <v>-17.0</v>
      </c>
      <c r="E129" s="7">
        <f>+7</f>
        <v>7</v>
      </c>
    </row>
    <row r="130">
      <c r="A130" s="8" t="s">
        <v>11</v>
      </c>
      <c r="B130" s="5" t="s">
        <v>338</v>
      </c>
      <c r="C130" s="9">
        <v>0.0</v>
      </c>
      <c r="D130" s="7">
        <v>-28.0</v>
      </c>
      <c r="E130" s="7">
        <v>-3.5</v>
      </c>
    </row>
    <row r="131">
      <c r="A131" s="8" t="s">
        <v>136</v>
      </c>
      <c r="B131" s="5" t="s">
        <v>401</v>
      </c>
      <c r="C131" s="9">
        <v>0.0</v>
      </c>
      <c r="D131" s="7">
        <v>-19.0</v>
      </c>
      <c r="E131" s="7">
        <f>+3.8</f>
        <v>3.8</v>
      </c>
    </row>
    <row r="132">
      <c r="A132" s="8" t="s">
        <v>71</v>
      </c>
      <c r="B132" s="5" t="s">
        <v>338</v>
      </c>
      <c r="C132" s="9">
        <v>0.0</v>
      </c>
      <c r="D132" s="7">
        <v>-21.0</v>
      </c>
      <c r="E132" s="7">
        <f>+9</f>
        <v>9</v>
      </c>
    </row>
    <row r="133">
      <c r="A133" s="8" t="s">
        <v>84</v>
      </c>
      <c r="B133" s="5" t="s">
        <v>338</v>
      </c>
      <c r="C133" s="9">
        <v>0.0</v>
      </c>
      <c r="D133" s="7">
        <v>-35.0</v>
      </c>
      <c r="E133" s="7">
        <f>+16.5</f>
        <v>16.5</v>
      </c>
    </row>
    <row r="134">
      <c r="A134" s="10" t="s">
        <v>402</v>
      </c>
      <c r="B134" s="11" t="s">
        <v>338</v>
      </c>
      <c r="C134" s="12">
        <v>0.0</v>
      </c>
      <c r="D134" s="13">
        <v>-27.0</v>
      </c>
      <c r="E134" s="13">
        <v>-10.5</v>
      </c>
    </row>
    <row r="135">
      <c r="A135" s="10" t="s">
        <v>403</v>
      </c>
      <c r="B135" s="11" t="s">
        <v>338</v>
      </c>
      <c r="C135" s="12">
        <v>0.0</v>
      </c>
      <c r="D135" s="13">
        <v>-29.0</v>
      </c>
      <c r="E135" s="15">
        <f>+7</f>
        <v>7</v>
      </c>
    </row>
    <row r="136">
      <c r="A136" s="10" t="s">
        <v>404</v>
      </c>
      <c r="B136" s="11" t="s">
        <v>338</v>
      </c>
      <c r="C136" s="12">
        <v>0.0</v>
      </c>
      <c r="D136" s="13">
        <v>-3.0</v>
      </c>
      <c r="E136" s="1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11</v>
      </c>
      <c r="B2" s="5" t="s">
        <v>344</v>
      </c>
      <c r="C2" s="9">
        <v>1.0</v>
      </c>
      <c r="D2" s="7">
        <v>3.0</v>
      </c>
      <c r="E2" s="4">
        <f>+17.5</f>
        <v>17.5</v>
      </c>
    </row>
    <row r="3">
      <c r="A3" s="8" t="s">
        <v>28</v>
      </c>
      <c r="B3" s="5" t="s">
        <v>342</v>
      </c>
      <c r="C3" s="9">
        <v>0.933</v>
      </c>
      <c r="D3" s="7">
        <v>19.9</v>
      </c>
      <c r="E3" s="4">
        <f>+4.6</f>
        <v>4.6</v>
      </c>
    </row>
    <row r="4">
      <c r="A4" s="8" t="s">
        <v>81</v>
      </c>
      <c r="B4" s="5" t="s">
        <v>342</v>
      </c>
      <c r="C4" s="9">
        <v>0.933</v>
      </c>
      <c r="D4" s="7">
        <v>16.8</v>
      </c>
      <c r="E4" s="7">
        <f>+3.8</f>
        <v>3.8</v>
      </c>
    </row>
    <row r="5">
      <c r="A5" s="8" t="s">
        <v>36</v>
      </c>
      <c r="B5" s="5" t="s">
        <v>162</v>
      </c>
      <c r="C5" s="9">
        <v>0.929</v>
      </c>
      <c r="D5" s="7">
        <v>19.7</v>
      </c>
      <c r="E5" s="4">
        <f>+9.5</f>
        <v>9.5</v>
      </c>
    </row>
    <row r="6">
      <c r="A6" s="8" t="s">
        <v>9</v>
      </c>
      <c r="B6" s="5" t="s">
        <v>8</v>
      </c>
      <c r="C6" s="9">
        <v>0.923</v>
      </c>
      <c r="D6" s="7">
        <v>20.6</v>
      </c>
      <c r="E6" s="7">
        <v>-0.4</v>
      </c>
    </row>
    <row r="7">
      <c r="A7" s="8" t="s">
        <v>126</v>
      </c>
      <c r="B7" s="5" t="s">
        <v>170</v>
      </c>
      <c r="C7" s="9">
        <v>0.857</v>
      </c>
      <c r="D7" s="7">
        <v>8.1</v>
      </c>
      <c r="E7" s="7">
        <v>-0.5</v>
      </c>
    </row>
    <row r="8">
      <c r="A8" s="8" t="s">
        <v>56</v>
      </c>
      <c r="B8" s="5" t="s">
        <v>170</v>
      </c>
      <c r="C8" s="9">
        <v>0.857</v>
      </c>
      <c r="D8" s="7">
        <v>10.6</v>
      </c>
      <c r="E8" s="7">
        <f>+3.6</f>
        <v>3.6</v>
      </c>
    </row>
    <row r="9">
      <c r="A9" s="8" t="s">
        <v>131</v>
      </c>
      <c r="B9" s="5" t="s">
        <v>170</v>
      </c>
      <c r="C9" s="9">
        <v>0.857</v>
      </c>
      <c r="D9" s="7">
        <v>15.2</v>
      </c>
      <c r="E9" s="4">
        <f>+6.2</f>
        <v>6.2</v>
      </c>
    </row>
    <row r="10">
      <c r="A10" s="8" t="s">
        <v>67</v>
      </c>
      <c r="B10" s="5" t="s">
        <v>170</v>
      </c>
      <c r="C10" s="9">
        <v>0.857</v>
      </c>
      <c r="D10" s="7">
        <v>18.4</v>
      </c>
      <c r="E10" s="4">
        <f>+8.3</f>
        <v>8.3</v>
      </c>
    </row>
    <row r="11">
      <c r="A11" s="8" t="s">
        <v>26</v>
      </c>
      <c r="B11" s="5" t="s">
        <v>17</v>
      </c>
      <c r="C11" s="9">
        <v>0.846</v>
      </c>
      <c r="D11" s="7">
        <v>14.9</v>
      </c>
      <c r="E11" s="4">
        <f t="shared" ref="E11:E12" si="1">+6.5</f>
        <v>6.5</v>
      </c>
    </row>
    <row r="12">
      <c r="A12" s="8" t="s">
        <v>23</v>
      </c>
      <c r="B12" s="5" t="s">
        <v>17</v>
      </c>
      <c r="C12" s="9">
        <v>0.846</v>
      </c>
      <c r="D12" s="7">
        <v>21.5</v>
      </c>
      <c r="E12" s="4">
        <f t="shared" si="1"/>
        <v>6.5</v>
      </c>
    </row>
    <row r="13">
      <c r="A13" s="8" t="s">
        <v>60</v>
      </c>
      <c r="B13" s="5" t="s">
        <v>17</v>
      </c>
      <c r="C13" s="9">
        <v>0.846</v>
      </c>
      <c r="D13" s="7">
        <v>14.8</v>
      </c>
      <c r="E13" s="7">
        <f>+0.8</f>
        <v>0.8</v>
      </c>
    </row>
    <row r="14">
      <c r="A14" s="8" t="s">
        <v>117</v>
      </c>
      <c r="B14" s="5" t="s">
        <v>17</v>
      </c>
      <c r="C14" s="9">
        <v>0.846</v>
      </c>
      <c r="D14" s="7">
        <v>17.6</v>
      </c>
      <c r="E14" s="7">
        <f>+2.9</f>
        <v>2.9</v>
      </c>
    </row>
    <row r="15">
      <c r="A15" s="8" t="s">
        <v>48</v>
      </c>
      <c r="B15" s="5" t="s">
        <v>21</v>
      </c>
      <c r="C15" s="9">
        <v>0.833</v>
      </c>
      <c r="D15" s="7">
        <v>14.3</v>
      </c>
      <c r="E15" s="7">
        <f>+9.4</f>
        <v>9.4</v>
      </c>
    </row>
    <row r="16">
      <c r="A16" s="8" t="s">
        <v>39</v>
      </c>
      <c r="B16" s="5" t="s">
        <v>182</v>
      </c>
      <c r="C16" s="9">
        <v>0.786</v>
      </c>
      <c r="D16" s="7">
        <v>15.7</v>
      </c>
      <c r="E16" s="4">
        <f>+9.2</f>
        <v>9.2</v>
      </c>
    </row>
    <row r="17">
      <c r="A17" s="8" t="s">
        <v>132</v>
      </c>
      <c r="B17" s="5" t="s">
        <v>182</v>
      </c>
      <c r="C17" s="9">
        <v>0.786</v>
      </c>
      <c r="D17" s="7">
        <v>16.2</v>
      </c>
      <c r="E17" s="7">
        <f>+7.1</f>
        <v>7.1</v>
      </c>
    </row>
    <row r="18">
      <c r="A18" s="8" t="s">
        <v>105</v>
      </c>
      <c r="B18" s="5" t="s">
        <v>29</v>
      </c>
      <c r="C18" s="9">
        <v>0.769</v>
      </c>
      <c r="D18" s="7">
        <v>13.5</v>
      </c>
      <c r="E18" s="7">
        <f>+4.2</f>
        <v>4.2</v>
      </c>
    </row>
    <row r="19">
      <c r="A19" s="8" t="s">
        <v>20</v>
      </c>
      <c r="B19" s="5" t="s">
        <v>29</v>
      </c>
      <c r="C19" s="9">
        <v>0.769</v>
      </c>
      <c r="D19" s="7">
        <v>10.2</v>
      </c>
      <c r="E19" s="7">
        <f>+1.3</f>
        <v>1.3</v>
      </c>
    </row>
    <row r="20">
      <c r="A20" s="8" t="s">
        <v>7</v>
      </c>
      <c r="B20" s="5" t="s">
        <v>29</v>
      </c>
      <c r="C20" s="9">
        <v>0.769</v>
      </c>
      <c r="D20" s="7">
        <v>9.4</v>
      </c>
      <c r="E20" s="7">
        <v>-4.2</v>
      </c>
    </row>
    <row r="21">
      <c r="A21" s="8" t="s">
        <v>12</v>
      </c>
      <c r="B21" s="5" t="s">
        <v>29</v>
      </c>
      <c r="C21" s="9">
        <v>0.769</v>
      </c>
      <c r="D21" s="7">
        <v>18.2</v>
      </c>
      <c r="E21" s="7">
        <f>+3.7</f>
        <v>3.7</v>
      </c>
    </row>
    <row r="22">
      <c r="A22" s="8" t="s">
        <v>125</v>
      </c>
      <c r="B22" s="5" t="s">
        <v>29</v>
      </c>
      <c r="C22" s="9">
        <v>0.769</v>
      </c>
      <c r="D22" s="7">
        <v>13.1</v>
      </c>
      <c r="E22" s="7">
        <f>+1.9</f>
        <v>1.9</v>
      </c>
    </row>
    <row r="23">
      <c r="A23" s="8" t="s">
        <v>89</v>
      </c>
      <c r="B23" s="5" t="s">
        <v>29</v>
      </c>
      <c r="C23" s="9">
        <v>0.769</v>
      </c>
      <c r="D23" s="7">
        <v>0.9</v>
      </c>
      <c r="E23" s="4">
        <f>+0.4</f>
        <v>0.4</v>
      </c>
    </row>
    <row r="24">
      <c r="A24" s="8" t="s">
        <v>33</v>
      </c>
      <c r="B24" s="5" t="s">
        <v>29</v>
      </c>
      <c r="C24" s="9">
        <v>0.769</v>
      </c>
      <c r="D24" s="7">
        <v>15.0</v>
      </c>
      <c r="E24" s="4">
        <f>+4.7</f>
        <v>4.7</v>
      </c>
    </row>
    <row r="25">
      <c r="A25" s="8" t="s">
        <v>113</v>
      </c>
      <c r="B25" s="5" t="s">
        <v>29</v>
      </c>
      <c r="C25" s="9">
        <v>0.769</v>
      </c>
      <c r="D25" s="7">
        <v>19.8</v>
      </c>
      <c r="E25" s="7">
        <v>-0.8</v>
      </c>
    </row>
    <row r="26">
      <c r="A26" s="8" t="s">
        <v>156</v>
      </c>
      <c r="B26" s="5" t="s">
        <v>29</v>
      </c>
      <c r="C26" s="9">
        <v>0.769</v>
      </c>
      <c r="D26" s="7">
        <v>9.1</v>
      </c>
      <c r="E26" s="7">
        <f>+0.5</f>
        <v>0.5</v>
      </c>
    </row>
    <row r="27">
      <c r="A27" s="8" t="s">
        <v>24</v>
      </c>
      <c r="B27" s="5" t="s">
        <v>29</v>
      </c>
      <c r="C27" s="9">
        <v>0.769</v>
      </c>
      <c r="D27" s="7">
        <v>8.3</v>
      </c>
      <c r="E27" s="7">
        <f>+2.7</f>
        <v>2.7</v>
      </c>
    </row>
    <row r="28">
      <c r="A28" s="8" t="s">
        <v>114</v>
      </c>
      <c r="B28" s="5" t="s">
        <v>29</v>
      </c>
      <c r="C28" s="9">
        <v>0.769</v>
      </c>
      <c r="D28" s="7">
        <v>14.2</v>
      </c>
      <c r="E28" s="7">
        <f>+2.4</f>
        <v>2.4</v>
      </c>
    </row>
    <row r="29">
      <c r="A29" s="8" t="s">
        <v>75</v>
      </c>
      <c r="B29" s="5" t="s">
        <v>34</v>
      </c>
      <c r="C29" s="9">
        <v>0.75</v>
      </c>
      <c r="D29" s="7">
        <v>8.6</v>
      </c>
      <c r="E29" s="7">
        <v>-1.8</v>
      </c>
    </row>
    <row r="30">
      <c r="A30" s="8" t="s">
        <v>121</v>
      </c>
      <c r="B30" s="5" t="s">
        <v>203</v>
      </c>
      <c r="C30" s="9">
        <v>0.714</v>
      </c>
      <c r="D30" s="7">
        <v>13.3</v>
      </c>
      <c r="E30" s="7">
        <f>+6.9</f>
        <v>6.9</v>
      </c>
    </row>
    <row r="31">
      <c r="A31" s="8" t="s">
        <v>124</v>
      </c>
      <c r="B31" s="5" t="s">
        <v>203</v>
      </c>
      <c r="C31" s="9">
        <v>0.714</v>
      </c>
      <c r="D31" s="7">
        <v>4.9</v>
      </c>
      <c r="E31" s="7">
        <v>-1.3</v>
      </c>
    </row>
    <row r="32">
      <c r="A32" s="8" t="s">
        <v>115</v>
      </c>
      <c r="B32" s="5" t="s">
        <v>203</v>
      </c>
      <c r="C32" s="9">
        <v>0.714</v>
      </c>
      <c r="D32" s="7">
        <v>9.7</v>
      </c>
      <c r="E32" s="7">
        <f>+5.2</f>
        <v>5.2</v>
      </c>
    </row>
    <row r="33">
      <c r="A33" s="8" t="s">
        <v>47</v>
      </c>
      <c r="B33" s="5" t="s">
        <v>46</v>
      </c>
      <c r="C33" s="9">
        <v>0.692</v>
      </c>
      <c r="D33" s="7">
        <v>18.8</v>
      </c>
      <c r="E33" s="7">
        <f>+3.4</f>
        <v>3.4</v>
      </c>
    </row>
    <row r="34">
      <c r="A34" s="8" t="s">
        <v>74</v>
      </c>
      <c r="B34" s="5" t="s">
        <v>46</v>
      </c>
      <c r="C34" s="9">
        <v>0.692</v>
      </c>
      <c r="D34" s="7">
        <v>10.7</v>
      </c>
      <c r="E34" s="7">
        <v>0.0</v>
      </c>
    </row>
    <row r="35">
      <c r="A35" s="8" t="s">
        <v>54</v>
      </c>
      <c r="B35" s="5" t="s">
        <v>46</v>
      </c>
      <c r="C35" s="9">
        <v>0.692</v>
      </c>
      <c r="D35" s="7">
        <v>15.2</v>
      </c>
      <c r="E35" s="7">
        <f>+3.7</f>
        <v>3.7</v>
      </c>
    </row>
    <row r="36">
      <c r="A36" s="8" t="s">
        <v>111</v>
      </c>
      <c r="B36" s="5" t="s">
        <v>46</v>
      </c>
      <c r="C36" s="9">
        <v>0.692</v>
      </c>
      <c r="D36" s="7">
        <v>11.2</v>
      </c>
      <c r="E36" s="7">
        <f>+3.2</f>
        <v>3.2</v>
      </c>
    </row>
    <row r="37">
      <c r="A37" s="8" t="s">
        <v>61</v>
      </c>
      <c r="B37" s="5" t="s">
        <v>46</v>
      </c>
      <c r="C37" s="9">
        <v>0.692</v>
      </c>
      <c r="D37" s="7">
        <v>12.8</v>
      </c>
      <c r="E37" s="4">
        <f>+4.3</f>
        <v>4.3</v>
      </c>
    </row>
    <row r="38">
      <c r="A38" s="8" t="s">
        <v>95</v>
      </c>
      <c r="B38" s="5" t="s">
        <v>46</v>
      </c>
      <c r="C38" s="9">
        <v>0.692</v>
      </c>
      <c r="D38" s="7">
        <v>9.8</v>
      </c>
      <c r="E38" s="7">
        <f>+4.2</f>
        <v>4.2</v>
      </c>
    </row>
    <row r="39">
      <c r="A39" s="8" t="s">
        <v>19</v>
      </c>
      <c r="B39" s="5" t="s">
        <v>46</v>
      </c>
      <c r="C39" s="9">
        <v>0.692</v>
      </c>
      <c r="D39" s="7">
        <v>10.8</v>
      </c>
      <c r="E39" s="7">
        <f>+3.8</f>
        <v>3.8</v>
      </c>
    </row>
    <row r="40">
      <c r="A40" s="8" t="s">
        <v>96</v>
      </c>
      <c r="B40" s="5" t="s">
        <v>46</v>
      </c>
      <c r="C40" s="9">
        <v>0.692</v>
      </c>
      <c r="D40" s="7">
        <v>3.8</v>
      </c>
      <c r="E40" s="7">
        <f>+3</f>
        <v>3</v>
      </c>
    </row>
    <row r="41">
      <c r="A41" s="8" t="s">
        <v>15</v>
      </c>
      <c r="B41" s="5" t="s">
        <v>46</v>
      </c>
      <c r="C41" s="9">
        <v>0.692</v>
      </c>
      <c r="D41" s="7">
        <v>5.5</v>
      </c>
      <c r="E41" s="7">
        <v>-5.5</v>
      </c>
    </row>
    <row r="42">
      <c r="A42" s="8" t="s">
        <v>99</v>
      </c>
      <c r="B42" s="5" t="s">
        <v>46</v>
      </c>
      <c r="C42" s="9">
        <v>0.692</v>
      </c>
      <c r="D42" s="7">
        <v>12.9</v>
      </c>
      <c r="E42" s="7">
        <f>+5.1</f>
        <v>5.1</v>
      </c>
    </row>
    <row r="43">
      <c r="A43" s="8" t="s">
        <v>79</v>
      </c>
      <c r="B43" s="5" t="s">
        <v>224</v>
      </c>
      <c r="C43" s="9">
        <v>0.643</v>
      </c>
      <c r="D43" s="7">
        <v>14.4</v>
      </c>
      <c r="E43" s="7">
        <f>+10.2</f>
        <v>10.2</v>
      </c>
    </row>
    <row r="44">
      <c r="A44" s="8" t="s">
        <v>45</v>
      </c>
      <c r="B44" s="5" t="s">
        <v>69</v>
      </c>
      <c r="C44" s="9">
        <v>0.615</v>
      </c>
      <c r="D44" s="7">
        <v>7.7</v>
      </c>
      <c r="E44" s="7">
        <f>+4.5</f>
        <v>4.5</v>
      </c>
    </row>
    <row r="45">
      <c r="A45" s="8" t="s">
        <v>50</v>
      </c>
      <c r="B45" s="5" t="s">
        <v>69</v>
      </c>
      <c r="C45" s="9">
        <v>0.615</v>
      </c>
      <c r="D45" s="7">
        <v>2.2</v>
      </c>
      <c r="E45" s="7">
        <f>+1.4</f>
        <v>1.4</v>
      </c>
    </row>
    <row r="46">
      <c r="A46" s="8" t="s">
        <v>102</v>
      </c>
      <c r="B46" s="5" t="s">
        <v>69</v>
      </c>
      <c r="C46" s="9">
        <v>0.615</v>
      </c>
      <c r="D46" s="7">
        <v>2.5</v>
      </c>
      <c r="E46" s="7">
        <f>+2.6</f>
        <v>2.6</v>
      </c>
    </row>
    <row r="47">
      <c r="A47" s="8" t="s">
        <v>150</v>
      </c>
      <c r="B47" s="5" t="s">
        <v>69</v>
      </c>
      <c r="C47" s="9">
        <v>0.615</v>
      </c>
      <c r="D47" s="7">
        <v>8.5</v>
      </c>
      <c r="E47" s="7">
        <f>+0.9</f>
        <v>0.9</v>
      </c>
    </row>
    <row r="48">
      <c r="A48" s="8" t="s">
        <v>14</v>
      </c>
      <c r="B48" s="5" t="s">
        <v>69</v>
      </c>
      <c r="C48" s="9">
        <v>0.615</v>
      </c>
      <c r="D48" s="7">
        <v>5.8</v>
      </c>
      <c r="E48" s="7">
        <v>-3.3</v>
      </c>
    </row>
    <row r="49">
      <c r="A49" s="8" t="s">
        <v>37</v>
      </c>
      <c r="B49" s="5" t="s">
        <v>69</v>
      </c>
      <c r="C49" s="9">
        <v>0.615</v>
      </c>
      <c r="D49" s="7">
        <v>10.7</v>
      </c>
      <c r="E49" s="7">
        <f>+10.5</f>
        <v>10.5</v>
      </c>
    </row>
    <row r="50">
      <c r="A50" s="8" t="s">
        <v>62</v>
      </c>
      <c r="B50" s="5" t="s">
        <v>69</v>
      </c>
      <c r="C50" s="9">
        <v>0.615</v>
      </c>
      <c r="D50" s="7">
        <v>4.6</v>
      </c>
      <c r="E50" s="7">
        <v>-1.3</v>
      </c>
    </row>
    <row r="51">
      <c r="A51" s="8" t="s">
        <v>80</v>
      </c>
      <c r="B51" s="5" t="s">
        <v>69</v>
      </c>
      <c r="C51" s="9">
        <v>0.615</v>
      </c>
      <c r="D51" s="7">
        <v>7.2</v>
      </c>
      <c r="E51" s="7">
        <f>+1.1</f>
        <v>1.1</v>
      </c>
    </row>
    <row r="52">
      <c r="A52" s="8" t="s">
        <v>145</v>
      </c>
      <c r="B52" s="5" t="s">
        <v>69</v>
      </c>
      <c r="C52" s="9">
        <v>0.615</v>
      </c>
      <c r="D52" s="7">
        <v>6.2</v>
      </c>
      <c r="E52" s="7">
        <v>-3.7</v>
      </c>
    </row>
    <row r="53">
      <c r="A53" s="8" t="s">
        <v>25</v>
      </c>
      <c r="B53" s="5" t="s">
        <v>69</v>
      </c>
      <c r="C53" s="9">
        <v>0.615</v>
      </c>
      <c r="D53" s="7">
        <v>-0.4</v>
      </c>
      <c r="E53" s="7">
        <v>-2.5</v>
      </c>
    </row>
    <row r="54">
      <c r="A54" s="8" t="s">
        <v>70</v>
      </c>
      <c r="B54" s="5" t="s">
        <v>69</v>
      </c>
      <c r="C54" s="9">
        <v>0.615</v>
      </c>
      <c r="D54" s="7">
        <v>6.2</v>
      </c>
      <c r="E54" s="7">
        <f>+1.7</f>
        <v>1.7</v>
      </c>
    </row>
    <row r="55">
      <c r="A55" s="8" t="s">
        <v>66</v>
      </c>
      <c r="B55" s="5" t="s">
        <v>69</v>
      </c>
      <c r="C55" s="9">
        <v>0.615</v>
      </c>
      <c r="D55" s="7">
        <v>2.2</v>
      </c>
      <c r="E55" s="7">
        <v>0.0</v>
      </c>
    </row>
    <row r="56">
      <c r="A56" s="8" t="s">
        <v>134</v>
      </c>
      <c r="B56" s="5" t="s">
        <v>69</v>
      </c>
      <c r="C56" s="9">
        <v>0.615</v>
      </c>
      <c r="D56" s="7">
        <v>9.4</v>
      </c>
      <c r="E56" s="7">
        <f>+1.7</f>
        <v>1.7</v>
      </c>
    </row>
    <row r="57">
      <c r="A57" s="8" t="s">
        <v>138</v>
      </c>
      <c r="B57" s="5" t="s">
        <v>244</v>
      </c>
      <c r="C57" s="9">
        <v>0.571</v>
      </c>
      <c r="D57" s="7">
        <v>3.5</v>
      </c>
      <c r="E57" s="7">
        <v>-1.1</v>
      </c>
    </row>
    <row r="58">
      <c r="A58" s="8" t="s">
        <v>129</v>
      </c>
      <c r="B58" s="5" t="s">
        <v>244</v>
      </c>
      <c r="C58" s="9">
        <v>0.571</v>
      </c>
      <c r="D58" s="7">
        <v>8.3</v>
      </c>
      <c r="E58" s="7">
        <f>+3.8</f>
        <v>3.8</v>
      </c>
    </row>
    <row r="59">
      <c r="A59" s="8" t="s">
        <v>41</v>
      </c>
      <c r="B59" s="5" t="s">
        <v>244</v>
      </c>
      <c r="C59" s="9">
        <v>0.571</v>
      </c>
      <c r="D59" s="7">
        <v>8.2</v>
      </c>
      <c r="E59" s="7">
        <v>-1.9</v>
      </c>
    </row>
    <row r="60">
      <c r="A60" s="8" t="s">
        <v>72</v>
      </c>
      <c r="B60" s="5" t="s">
        <v>88</v>
      </c>
      <c r="C60" s="9">
        <v>0.539</v>
      </c>
      <c r="D60" s="7">
        <v>3.8</v>
      </c>
      <c r="E60" s="7">
        <f>+3.7</f>
        <v>3.7</v>
      </c>
    </row>
    <row r="61">
      <c r="A61" s="8" t="s">
        <v>140</v>
      </c>
      <c r="B61" s="5" t="s">
        <v>88</v>
      </c>
      <c r="C61" s="9">
        <v>0.539</v>
      </c>
      <c r="D61" s="7">
        <v>-0.6</v>
      </c>
      <c r="E61" s="7">
        <f>+1.8</f>
        <v>1.8</v>
      </c>
    </row>
    <row r="62">
      <c r="A62" s="8" t="s">
        <v>110</v>
      </c>
      <c r="B62" s="5" t="s">
        <v>88</v>
      </c>
      <c r="C62" s="9">
        <v>0.539</v>
      </c>
      <c r="D62" s="7">
        <v>1.5</v>
      </c>
      <c r="E62" s="7">
        <v>-4.1</v>
      </c>
    </row>
    <row r="63">
      <c r="A63" s="8" t="s">
        <v>91</v>
      </c>
      <c r="B63" s="5" t="s">
        <v>88</v>
      </c>
      <c r="C63" s="9">
        <v>0.539</v>
      </c>
      <c r="D63" s="7">
        <v>1.3</v>
      </c>
      <c r="E63" s="7">
        <v>-2.7</v>
      </c>
    </row>
    <row r="64">
      <c r="A64" s="8" t="s">
        <v>10</v>
      </c>
      <c r="B64" s="5" t="s">
        <v>88</v>
      </c>
      <c r="C64" s="9">
        <v>0.539</v>
      </c>
      <c r="D64" s="7">
        <v>1.5</v>
      </c>
      <c r="E64" s="7">
        <f>+0.1</f>
        <v>0.1</v>
      </c>
    </row>
    <row r="65">
      <c r="A65" s="8" t="s">
        <v>78</v>
      </c>
      <c r="B65" s="5" t="s">
        <v>88</v>
      </c>
      <c r="C65" s="9">
        <v>0.539</v>
      </c>
      <c r="D65" s="7">
        <v>2.7</v>
      </c>
      <c r="E65" s="7">
        <v>-5.5</v>
      </c>
    </row>
    <row r="66">
      <c r="A66" s="8" t="s">
        <v>144</v>
      </c>
      <c r="B66" s="5" t="s">
        <v>88</v>
      </c>
      <c r="C66" s="9">
        <v>0.539</v>
      </c>
      <c r="D66" s="7">
        <v>7.4</v>
      </c>
      <c r="E66" s="7">
        <f>+3</f>
        <v>3</v>
      </c>
    </row>
    <row r="67">
      <c r="A67" s="8" t="s">
        <v>38</v>
      </c>
      <c r="B67" s="5" t="s">
        <v>88</v>
      </c>
      <c r="C67" s="9">
        <v>0.539</v>
      </c>
      <c r="D67" s="7">
        <v>1.5</v>
      </c>
      <c r="E67" s="7">
        <f>+4.9</f>
        <v>4.9</v>
      </c>
    </row>
    <row r="68">
      <c r="A68" s="8" t="s">
        <v>152</v>
      </c>
      <c r="B68" s="5" t="s">
        <v>88</v>
      </c>
      <c r="C68" s="9">
        <v>0.539</v>
      </c>
      <c r="D68" s="7">
        <v>2.4</v>
      </c>
      <c r="E68" s="7">
        <v>-2.3</v>
      </c>
    </row>
    <row r="69">
      <c r="A69" s="8" t="s">
        <v>63</v>
      </c>
      <c r="B69" s="5" t="s">
        <v>88</v>
      </c>
      <c r="C69" s="9">
        <v>0.539</v>
      </c>
      <c r="D69" s="7">
        <v>11.8</v>
      </c>
      <c r="E69" s="4">
        <f>+9.5</f>
        <v>9.5</v>
      </c>
    </row>
    <row r="70">
      <c r="A70" s="8" t="s">
        <v>40</v>
      </c>
      <c r="B70" s="5" t="s">
        <v>88</v>
      </c>
      <c r="C70" s="9">
        <v>0.539</v>
      </c>
      <c r="D70" s="7">
        <v>1.6</v>
      </c>
      <c r="E70" s="7">
        <v>-2.5</v>
      </c>
    </row>
    <row r="71">
      <c r="A71" s="8" t="s">
        <v>82</v>
      </c>
      <c r="B71" s="5" t="s">
        <v>88</v>
      </c>
      <c r="C71" s="9">
        <v>0.539</v>
      </c>
      <c r="D71" s="7">
        <v>7.4</v>
      </c>
      <c r="E71" s="7">
        <f>+0.6</f>
        <v>0.6</v>
      </c>
    </row>
    <row r="72">
      <c r="A72" s="8" t="s">
        <v>146</v>
      </c>
      <c r="B72" s="5" t="s">
        <v>88</v>
      </c>
      <c r="C72" s="9">
        <v>0.539</v>
      </c>
      <c r="D72" s="7">
        <v>4.7</v>
      </c>
      <c r="E72" s="7">
        <f>+0.2</f>
        <v>0.2</v>
      </c>
    </row>
    <row r="73">
      <c r="A73" s="8" t="s">
        <v>136</v>
      </c>
      <c r="B73" s="5" t="s">
        <v>350</v>
      </c>
      <c r="C73" s="9">
        <v>0.5</v>
      </c>
      <c r="D73" s="7">
        <v>-8.0</v>
      </c>
      <c r="E73" s="7">
        <f>+9.5</f>
        <v>9.5</v>
      </c>
    </row>
    <row r="74">
      <c r="A74" s="8" t="s">
        <v>141</v>
      </c>
      <c r="B74" s="5" t="s">
        <v>261</v>
      </c>
      <c r="C74" s="9">
        <v>0.462</v>
      </c>
      <c r="D74" s="7">
        <v>0.7</v>
      </c>
      <c r="E74" s="7">
        <f>+2.2</f>
        <v>2.2</v>
      </c>
    </row>
    <row r="75">
      <c r="A75" s="8" t="s">
        <v>122</v>
      </c>
      <c r="B75" s="5" t="s">
        <v>261</v>
      </c>
      <c r="C75" s="9">
        <v>0.462</v>
      </c>
      <c r="D75" s="7">
        <v>-2.7</v>
      </c>
      <c r="E75" s="7">
        <f>+3.3</f>
        <v>3.3</v>
      </c>
    </row>
    <row r="76">
      <c r="A76" s="8" t="s">
        <v>5</v>
      </c>
      <c r="B76" s="5" t="s">
        <v>261</v>
      </c>
      <c r="C76" s="9">
        <v>0.462</v>
      </c>
      <c r="D76" s="7">
        <v>-1.1</v>
      </c>
      <c r="E76" s="7">
        <v>-0.5</v>
      </c>
    </row>
    <row r="77">
      <c r="A77" s="8" t="s">
        <v>76</v>
      </c>
      <c r="B77" s="5" t="s">
        <v>261</v>
      </c>
      <c r="C77" s="9">
        <v>0.462</v>
      </c>
      <c r="D77" s="7">
        <v>-2.7</v>
      </c>
      <c r="E77" s="7">
        <v>-1.5</v>
      </c>
    </row>
    <row r="78">
      <c r="A78" s="8" t="s">
        <v>92</v>
      </c>
      <c r="B78" s="5" t="s">
        <v>261</v>
      </c>
      <c r="C78" s="9">
        <v>0.462</v>
      </c>
      <c r="D78" s="7">
        <v>-1.5</v>
      </c>
      <c r="E78" s="7">
        <v>-2.8</v>
      </c>
    </row>
    <row r="79">
      <c r="A79" s="8" t="s">
        <v>77</v>
      </c>
      <c r="B79" s="5" t="s">
        <v>261</v>
      </c>
      <c r="C79" s="9">
        <v>0.462</v>
      </c>
      <c r="D79" s="7">
        <v>5.0</v>
      </c>
      <c r="E79" s="7">
        <f>+0.3</f>
        <v>0.3</v>
      </c>
    </row>
    <row r="80">
      <c r="A80" s="8" t="s">
        <v>94</v>
      </c>
      <c r="B80" s="5" t="s">
        <v>261</v>
      </c>
      <c r="C80" s="9">
        <v>0.462</v>
      </c>
      <c r="D80" s="7">
        <v>2.3</v>
      </c>
      <c r="E80" s="7">
        <v>-5.0</v>
      </c>
    </row>
    <row r="81">
      <c r="A81" s="8" t="s">
        <v>64</v>
      </c>
      <c r="B81" s="5" t="s">
        <v>261</v>
      </c>
      <c r="C81" s="9">
        <v>0.462</v>
      </c>
      <c r="D81" s="7">
        <v>1.2</v>
      </c>
      <c r="E81" s="7">
        <v>-2.9</v>
      </c>
    </row>
    <row r="82">
      <c r="A82" s="8" t="s">
        <v>43</v>
      </c>
      <c r="B82" s="5" t="s">
        <v>261</v>
      </c>
      <c r="C82" s="9">
        <v>0.462</v>
      </c>
      <c r="D82" s="7">
        <v>-2.3</v>
      </c>
      <c r="E82" s="7">
        <f>+3.4</f>
        <v>3.4</v>
      </c>
    </row>
    <row r="83">
      <c r="A83" s="8" t="s">
        <v>158</v>
      </c>
      <c r="B83" s="5" t="s">
        <v>261</v>
      </c>
      <c r="C83" s="9">
        <v>0.462</v>
      </c>
      <c r="D83" s="7">
        <v>-1.4</v>
      </c>
      <c r="E83" s="7">
        <f>+7</f>
        <v>7</v>
      </c>
    </row>
    <row r="84">
      <c r="A84" s="8" t="s">
        <v>104</v>
      </c>
      <c r="B84" s="5" t="s">
        <v>103</v>
      </c>
      <c r="C84" s="9">
        <v>0.417</v>
      </c>
      <c r="D84" s="7">
        <v>-0.9</v>
      </c>
      <c r="E84" s="7">
        <f>+0.7</f>
        <v>0.7</v>
      </c>
    </row>
    <row r="85">
      <c r="A85" s="8" t="s">
        <v>108</v>
      </c>
      <c r="B85" s="5" t="s">
        <v>103</v>
      </c>
      <c r="C85" s="9">
        <v>0.417</v>
      </c>
      <c r="D85" s="7">
        <v>-9.8</v>
      </c>
      <c r="E85" s="7">
        <v>-7.7</v>
      </c>
    </row>
    <row r="86">
      <c r="A86" s="8" t="s">
        <v>148</v>
      </c>
      <c r="B86" s="5" t="s">
        <v>103</v>
      </c>
      <c r="C86" s="9">
        <v>0.417</v>
      </c>
      <c r="D86" s="7">
        <v>-12.3</v>
      </c>
      <c r="E86" s="7">
        <v>-3.7</v>
      </c>
    </row>
    <row r="87">
      <c r="A87" s="8" t="s">
        <v>109</v>
      </c>
      <c r="B87" s="5" t="s">
        <v>103</v>
      </c>
      <c r="C87" s="9">
        <v>0.417</v>
      </c>
      <c r="D87" s="7">
        <v>-2.8</v>
      </c>
      <c r="E87" s="7">
        <v>-3.4</v>
      </c>
    </row>
    <row r="88">
      <c r="A88" s="8" t="s">
        <v>55</v>
      </c>
      <c r="B88" s="5" t="s">
        <v>103</v>
      </c>
      <c r="C88" s="9">
        <v>0.417</v>
      </c>
      <c r="D88" s="7">
        <v>-0.6</v>
      </c>
      <c r="E88" s="7">
        <f>+0.1</f>
        <v>0.1</v>
      </c>
    </row>
    <row r="89">
      <c r="A89" s="8" t="s">
        <v>58</v>
      </c>
      <c r="B89" s="5" t="s">
        <v>103</v>
      </c>
      <c r="C89" s="9">
        <v>0.417</v>
      </c>
      <c r="D89" s="7">
        <v>-2.6</v>
      </c>
      <c r="E89" s="7">
        <v>-4.1</v>
      </c>
    </row>
    <row r="90">
      <c r="A90" s="8" t="s">
        <v>35</v>
      </c>
      <c r="B90" s="5" t="s">
        <v>103</v>
      </c>
      <c r="C90" s="9">
        <v>0.417</v>
      </c>
      <c r="D90" s="7">
        <v>-3.9</v>
      </c>
      <c r="E90" s="7">
        <v>-2.0</v>
      </c>
    </row>
    <row r="91">
      <c r="A91" s="8" t="s">
        <v>59</v>
      </c>
      <c r="B91" s="5" t="s">
        <v>103</v>
      </c>
      <c r="C91" s="9">
        <v>0.417</v>
      </c>
      <c r="D91" s="7">
        <v>1.4</v>
      </c>
      <c r="E91" s="7">
        <v>-1.2</v>
      </c>
    </row>
    <row r="92">
      <c r="A92" s="8" t="s">
        <v>83</v>
      </c>
      <c r="B92" s="5" t="s">
        <v>103</v>
      </c>
      <c r="C92" s="9">
        <v>0.417</v>
      </c>
      <c r="D92" s="7">
        <v>-4.3</v>
      </c>
      <c r="E92" s="7">
        <v>-4.3</v>
      </c>
    </row>
    <row r="93">
      <c r="A93" s="8" t="s">
        <v>137</v>
      </c>
      <c r="B93" s="5" t="s">
        <v>103</v>
      </c>
      <c r="C93" s="9">
        <v>0.417</v>
      </c>
      <c r="D93" s="7">
        <v>-12.3</v>
      </c>
      <c r="E93" s="7">
        <v>-5.3</v>
      </c>
    </row>
    <row r="94">
      <c r="A94" s="8" t="s">
        <v>44</v>
      </c>
      <c r="B94" s="5" t="s">
        <v>103</v>
      </c>
      <c r="C94" s="9">
        <v>0.417</v>
      </c>
      <c r="D94" s="7">
        <v>-11.5</v>
      </c>
      <c r="E94" s="7">
        <v>-5.7</v>
      </c>
    </row>
    <row r="95">
      <c r="A95" s="8" t="s">
        <v>22</v>
      </c>
      <c r="B95" s="5" t="s">
        <v>119</v>
      </c>
      <c r="C95" s="9">
        <v>0.333</v>
      </c>
      <c r="D95" s="7">
        <v>-5.8</v>
      </c>
      <c r="E95" s="7">
        <v>-1.3</v>
      </c>
    </row>
    <row r="96">
      <c r="A96" s="8" t="s">
        <v>93</v>
      </c>
      <c r="B96" s="5" t="s">
        <v>119</v>
      </c>
      <c r="C96" s="9">
        <v>0.333</v>
      </c>
      <c r="D96" s="7">
        <v>-5.4</v>
      </c>
      <c r="E96" s="7">
        <v>-5.8</v>
      </c>
    </row>
    <row r="97">
      <c r="A97" s="8" t="s">
        <v>68</v>
      </c>
      <c r="B97" s="5" t="s">
        <v>119</v>
      </c>
      <c r="C97" s="9">
        <v>0.333</v>
      </c>
      <c r="D97" s="7">
        <v>-0.3</v>
      </c>
      <c r="E97" s="7">
        <f>+6.5</f>
        <v>6.5</v>
      </c>
    </row>
    <row r="98">
      <c r="A98" s="8" t="s">
        <v>31</v>
      </c>
      <c r="B98" s="5" t="s">
        <v>119</v>
      </c>
      <c r="C98" s="9">
        <v>0.333</v>
      </c>
      <c r="D98" s="7">
        <v>-6.4</v>
      </c>
      <c r="E98" s="7">
        <v>-1.7</v>
      </c>
    </row>
    <row r="99">
      <c r="A99" s="8" t="s">
        <v>116</v>
      </c>
      <c r="B99" s="5" t="s">
        <v>119</v>
      </c>
      <c r="C99" s="9">
        <v>0.333</v>
      </c>
      <c r="D99" s="7">
        <v>-7.8</v>
      </c>
      <c r="E99" s="7">
        <v>-4.4</v>
      </c>
    </row>
    <row r="100">
      <c r="A100" s="8" t="s">
        <v>147</v>
      </c>
      <c r="B100" s="5" t="s">
        <v>119</v>
      </c>
      <c r="C100" s="9">
        <v>0.333</v>
      </c>
      <c r="D100" s="7">
        <v>-3.8</v>
      </c>
      <c r="E100" s="7">
        <f>+2.6</f>
        <v>2.6</v>
      </c>
    </row>
    <row r="101">
      <c r="A101" s="8" t="s">
        <v>142</v>
      </c>
      <c r="B101" s="5" t="s">
        <v>399</v>
      </c>
      <c r="C101" s="9">
        <v>0.308</v>
      </c>
      <c r="D101" s="7">
        <v>-2.8</v>
      </c>
      <c r="E101" s="7">
        <f>+0.1</f>
        <v>0.1</v>
      </c>
    </row>
    <row r="102">
      <c r="A102" s="8" t="s">
        <v>120</v>
      </c>
      <c r="B102" s="5" t="s">
        <v>139</v>
      </c>
      <c r="C102" s="9">
        <v>0.25</v>
      </c>
      <c r="D102" s="7">
        <v>-12.8</v>
      </c>
      <c r="E102" s="7">
        <v>-7.1</v>
      </c>
    </row>
    <row r="103">
      <c r="A103" s="8" t="s">
        <v>87</v>
      </c>
      <c r="B103" s="5" t="s">
        <v>139</v>
      </c>
      <c r="C103" s="9">
        <v>0.25</v>
      </c>
      <c r="D103" s="7">
        <v>-14.1</v>
      </c>
      <c r="E103" s="7">
        <v>-2.3</v>
      </c>
    </row>
    <row r="104">
      <c r="A104" s="8" t="s">
        <v>107</v>
      </c>
      <c r="B104" s="5" t="s">
        <v>139</v>
      </c>
      <c r="C104" s="9">
        <v>0.25</v>
      </c>
      <c r="D104" s="7">
        <v>-13.0</v>
      </c>
      <c r="E104" s="7">
        <v>-7.7</v>
      </c>
    </row>
    <row r="105">
      <c r="A105" s="8" t="s">
        <v>53</v>
      </c>
      <c r="B105" s="5" t="s">
        <v>139</v>
      </c>
      <c r="C105" s="9">
        <v>0.25</v>
      </c>
      <c r="D105" s="7">
        <v>-15.8</v>
      </c>
      <c r="E105" s="7">
        <v>-5.9</v>
      </c>
    </row>
    <row r="106">
      <c r="A106" s="8" t="s">
        <v>123</v>
      </c>
      <c r="B106" s="5" t="s">
        <v>139</v>
      </c>
      <c r="C106" s="9">
        <v>0.25</v>
      </c>
      <c r="D106" s="7">
        <v>-5.6</v>
      </c>
      <c r="E106" s="7">
        <v>-1.0</v>
      </c>
    </row>
    <row r="107">
      <c r="A107" s="8" t="s">
        <v>57</v>
      </c>
      <c r="B107" s="5" t="s">
        <v>139</v>
      </c>
      <c r="C107" s="9">
        <v>0.25</v>
      </c>
      <c r="D107" s="7">
        <v>-7.7</v>
      </c>
      <c r="E107" s="7">
        <f>+1.3</f>
        <v>1.3</v>
      </c>
    </row>
    <row r="108">
      <c r="A108" s="8" t="s">
        <v>16</v>
      </c>
      <c r="B108" s="5" t="s">
        <v>139</v>
      </c>
      <c r="C108" s="9">
        <v>0.25</v>
      </c>
      <c r="D108" s="7">
        <v>-16.6</v>
      </c>
      <c r="E108" s="7">
        <v>-5.4</v>
      </c>
    </row>
    <row r="109">
      <c r="A109" s="8" t="s">
        <v>128</v>
      </c>
      <c r="B109" s="5" t="s">
        <v>139</v>
      </c>
      <c r="C109" s="9">
        <v>0.25</v>
      </c>
      <c r="D109" s="7">
        <v>-16.4</v>
      </c>
      <c r="E109" s="7">
        <v>-1.8</v>
      </c>
    </row>
    <row r="110">
      <c r="A110" s="8" t="s">
        <v>30</v>
      </c>
      <c r="B110" s="5" t="s">
        <v>139</v>
      </c>
      <c r="C110" s="9">
        <v>0.25</v>
      </c>
      <c r="D110" s="7">
        <v>-5.1</v>
      </c>
      <c r="E110" s="7">
        <f>+4.5</f>
        <v>4.5</v>
      </c>
    </row>
    <row r="111">
      <c r="A111" s="8" t="s">
        <v>65</v>
      </c>
      <c r="B111" s="5" t="s">
        <v>139</v>
      </c>
      <c r="C111" s="9">
        <v>0.25</v>
      </c>
      <c r="D111" s="7">
        <v>-7.2</v>
      </c>
      <c r="E111" s="7">
        <f>+0.9</f>
        <v>0.9</v>
      </c>
    </row>
    <row r="112">
      <c r="A112" s="8" t="s">
        <v>133</v>
      </c>
      <c r="B112" s="5" t="s">
        <v>139</v>
      </c>
      <c r="C112" s="9">
        <v>0.25</v>
      </c>
      <c r="D112" s="7">
        <v>-9.8</v>
      </c>
      <c r="E112" s="7">
        <v>-2.9</v>
      </c>
    </row>
    <row r="113">
      <c r="A113" s="8" t="s">
        <v>42</v>
      </c>
      <c r="B113" s="5" t="s">
        <v>139</v>
      </c>
      <c r="C113" s="9">
        <v>0.25</v>
      </c>
      <c r="D113" s="7">
        <v>3.5</v>
      </c>
      <c r="E113" s="7">
        <v>-3.1</v>
      </c>
    </row>
    <row r="114">
      <c r="A114" s="8" t="s">
        <v>154</v>
      </c>
      <c r="B114" s="5" t="s">
        <v>139</v>
      </c>
      <c r="C114" s="9">
        <v>0.25</v>
      </c>
      <c r="D114" s="7">
        <v>1.9</v>
      </c>
      <c r="E114" s="7">
        <v>-0.1</v>
      </c>
    </row>
    <row r="115">
      <c r="A115" s="8" t="s">
        <v>160</v>
      </c>
      <c r="B115" s="5" t="s">
        <v>139</v>
      </c>
      <c r="C115" s="9">
        <v>0.25</v>
      </c>
      <c r="D115" s="7">
        <v>-9.3</v>
      </c>
      <c r="E115" s="7">
        <v>-4.0</v>
      </c>
    </row>
    <row r="116">
      <c r="A116" s="8" t="s">
        <v>98</v>
      </c>
      <c r="B116" s="5" t="s">
        <v>139</v>
      </c>
      <c r="C116" s="9">
        <v>0.25</v>
      </c>
      <c r="D116" s="7">
        <v>-12.3</v>
      </c>
      <c r="E116" s="7">
        <v>-8.1</v>
      </c>
    </row>
    <row r="117">
      <c r="A117" s="8" t="s">
        <v>135</v>
      </c>
      <c r="B117" s="5" t="s">
        <v>139</v>
      </c>
      <c r="C117" s="9">
        <v>0.25</v>
      </c>
      <c r="D117" s="7">
        <v>-6.3</v>
      </c>
      <c r="E117" s="7">
        <v>-1.0</v>
      </c>
    </row>
    <row r="118">
      <c r="A118" s="8" t="s">
        <v>101</v>
      </c>
      <c r="B118" s="5" t="s">
        <v>139</v>
      </c>
      <c r="C118" s="9">
        <v>0.25</v>
      </c>
      <c r="D118" s="7">
        <v>-11.2</v>
      </c>
      <c r="E118" s="7">
        <v>-3.7</v>
      </c>
    </row>
    <row r="119">
      <c r="A119" s="8" t="s">
        <v>52</v>
      </c>
      <c r="B119" s="5" t="s">
        <v>325</v>
      </c>
      <c r="C119" s="9">
        <v>0.231</v>
      </c>
      <c r="D119" s="7">
        <v>-18.0</v>
      </c>
      <c r="E119" s="7">
        <v>-10.7</v>
      </c>
    </row>
    <row r="120">
      <c r="A120" s="8" t="s">
        <v>51</v>
      </c>
      <c r="B120" s="5" t="s">
        <v>149</v>
      </c>
      <c r="C120" s="9">
        <v>0.167</v>
      </c>
      <c r="D120" s="7">
        <v>-17.9</v>
      </c>
      <c r="E120" s="7">
        <v>-5.7</v>
      </c>
    </row>
    <row r="121">
      <c r="A121" s="8" t="s">
        <v>151</v>
      </c>
      <c r="B121" s="5" t="s">
        <v>149</v>
      </c>
      <c r="C121" s="9">
        <v>0.167</v>
      </c>
      <c r="D121" s="7">
        <v>-11.4</v>
      </c>
      <c r="E121" s="7">
        <v>-2.6</v>
      </c>
    </row>
    <row r="122">
      <c r="A122" s="8" t="s">
        <v>85</v>
      </c>
      <c r="B122" s="5" t="s">
        <v>149</v>
      </c>
      <c r="C122" s="9">
        <v>0.167</v>
      </c>
      <c r="D122" s="7">
        <v>-5.8</v>
      </c>
      <c r="E122" s="7">
        <v>-0.3</v>
      </c>
    </row>
    <row r="123">
      <c r="A123" s="8" t="s">
        <v>130</v>
      </c>
      <c r="B123" s="5" t="s">
        <v>149</v>
      </c>
      <c r="C123" s="9">
        <v>0.167</v>
      </c>
      <c r="D123" s="7">
        <v>-15.0</v>
      </c>
      <c r="E123" s="7">
        <v>-3.2</v>
      </c>
    </row>
    <row r="124">
      <c r="A124" s="8" t="s">
        <v>153</v>
      </c>
      <c r="B124" s="5" t="s">
        <v>149</v>
      </c>
      <c r="C124" s="9">
        <v>0.167</v>
      </c>
      <c r="D124" s="7">
        <v>-18.0</v>
      </c>
      <c r="E124" s="7">
        <v>-8.0</v>
      </c>
    </row>
    <row r="125">
      <c r="A125" s="8" t="s">
        <v>159</v>
      </c>
      <c r="B125" s="5" t="s">
        <v>149</v>
      </c>
      <c r="C125" s="9">
        <v>0.167</v>
      </c>
      <c r="D125" s="7">
        <v>-18.8</v>
      </c>
      <c r="E125" s="7">
        <v>-7.7</v>
      </c>
    </row>
    <row r="126">
      <c r="A126" s="8" t="s">
        <v>143</v>
      </c>
      <c r="B126" s="5" t="s">
        <v>396</v>
      </c>
      <c r="C126" s="9">
        <v>0.154</v>
      </c>
      <c r="D126" s="7">
        <v>-15.5</v>
      </c>
      <c r="E126" s="7">
        <v>-6.8</v>
      </c>
    </row>
    <row r="127">
      <c r="A127" s="8" t="s">
        <v>118</v>
      </c>
      <c r="B127" s="5" t="s">
        <v>157</v>
      </c>
      <c r="C127" s="9">
        <v>0.083</v>
      </c>
      <c r="D127" s="7">
        <v>-16.7</v>
      </c>
      <c r="E127" s="7">
        <v>-1.2</v>
      </c>
    </row>
    <row r="128">
      <c r="A128" s="8" t="s">
        <v>18</v>
      </c>
      <c r="B128" s="5" t="s">
        <v>157</v>
      </c>
      <c r="C128" s="9">
        <v>0.083</v>
      </c>
      <c r="D128" s="7">
        <v>-26.1</v>
      </c>
      <c r="E128" s="7">
        <v>-8.3</v>
      </c>
    </row>
    <row r="129">
      <c r="A129" s="8" t="s">
        <v>106</v>
      </c>
      <c r="B129" s="5" t="s">
        <v>161</v>
      </c>
      <c r="C129" s="9">
        <v>0.0</v>
      </c>
      <c r="D129" s="7">
        <v>-23.8</v>
      </c>
      <c r="E129" s="7">
        <v>-13.7</v>
      </c>
    </row>
    <row r="130">
      <c r="A130" s="8" t="s">
        <v>112</v>
      </c>
      <c r="B130" s="5" t="s">
        <v>161</v>
      </c>
      <c r="C130" s="9">
        <v>0.0</v>
      </c>
      <c r="D130" s="7">
        <v>-30.8</v>
      </c>
      <c r="E130" s="7">
        <v>-4.4</v>
      </c>
    </row>
    <row r="131">
      <c r="A131" s="8" t="s">
        <v>97</v>
      </c>
      <c r="B131" s="5" t="s">
        <v>338</v>
      </c>
      <c r="C131" s="9">
        <v>0.0</v>
      </c>
      <c r="D131" s="7">
        <v>-27.0</v>
      </c>
      <c r="E131" s="7">
        <f>+10.5</f>
        <v>10.5</v>
      </c>
    </row>
    <row r="132">
      <c r="A132" s="8" t="s">
        <v>155</v>
      </c>
      <c r="B132" s="5" t="s">
        <v>338</v>
      </c>
      <c r="C132" s="9">
        <v>0.0</v>
      </c>
      <c r="D132" s="7">
        <v>-14.0</v>
      </c>
      <c r="E132" s="7">
        <v>0.0</v>
      </c>
    </row>
    <row r="133">
      <c r="A133" s="8" t="s">
        <v>71</v>
      </c>
      <c r="B133" s="5" t="s">
        <v>338</v>
      </c>
      <c r="C133" s="9">
        <v>0.0</v>
      </c>
      <c r="D133" s="7">
        <v>-7.0</v>
      </c>
      <c r="E133" s="7">
        <f>+38</f>
        <v>38</v>
      </c>
    </row>
    <row r="134">
      <c r="A134" s="8" t="s">
        <v>84</v>
      </c>
      <c r="B134" s="5" t="s">
        <v>401</v>
      </c>
      <c r="C134" s="9">
        <v>0.0</v>
      </c>
      <c r="D134" s="7">
        <v>-59.5</v>
      </c>
      <c r="E134" s="7">
        <v>-35.8</v>
      </c>
    </row>
    <row r="135">
      <c r="A135" s="8" t="s">
        <v>84</v>
      </c>
      <c r="B135" s="5" t="s">
        <v>338</v>
      </c>
      <c r="C135" s="9">
        <v>0.0</v>
      </c>
      <c r="D135" s="7">
        <v>-29.0</v>
      </c>
      <c r="E135" s="7">
        <f>+7</f>
        <v>7</v>
      </c>
    </row>
    <row r="136">
      <c r="A136" s="8" t="s">
        <v>32</v>
      </c>
      <c r="B136" s="5" t="s">
        <v>338</v>
      </c>
      <c r="C136" s="9">
        <v>0.0</v>
      </c>
      <c r="D136" s="7">
        <v>-3.0</v>
      </c>
      <c r="E136" s="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9</v>
      </c>
      <c r="B2" s="5" t="s">
        <v>342</v>
      </c>
      <c r="C2" s="9">
        <v>0.933</v>
      </c>
      <c r="D2" s="7">
        <v>22.8</v>
      </c>
      <c r="E2" s="4">
        <f>+10.6</f>
        <v>10.6</v>
      </c>
    </row>
    <row r="3">
      <c r="A3" s="8" t="s">
        <v>105</v>
      </c>
      <c r="B3" s="5" t="s">
        <v>162</v>
      </c>
      <c r="C3" s="9">
        <v>0.929</v>
      </c>
      <c r="D3" s="7">
        <v>24.6</v>
      </c>
      <c r="E3" s="4">
        <f>+5.8</f>
        <v>5.8</v>
      </c>
    </row>
    <row r="4">
      <c r="A4" s="8" t="s">
        <v>114</v>
      </c>
      <c r="B4" s="5" t="s">
        <v>162</v>
      </c>
      <c r="C4" s="9">
        <v>0.929</v>
      </c>
      <c r="D4" s="7">
        <v>8.1</v>
      </c>
      <c r="E4" s="7">
        <v>-7.8</v>
      </c>
    </row>
    <row r="5">
      <c r="A5" s="8" t="s">
        <v>60</v>
      </c>
      <c r="B5" s="5" t="s">
        <v>8</v>
      </c>
      <c r="C5" s="9">
        <v>0.923</v>
      </c>
      <c r="D5" s="7">
        <v>27.5</v>
      </c>
      <c r="E5" s="4">
        <f>+13.1</f>
        <v>13.1</v>
      </c>
    </row>
    <row r="6">
      <c r="A6" s="8" t="s">
        <v>15</v>
      </c>
      <c r="B6" s="5" t="s">
        <v>345</v>
      </c>
      <c r="C6" s="9">
        <v>0.867</v>
      </c>
      <c r="D6" s="7">
        <v>21.8</v>
      </c>
      <c r="E6" s="7">
        <f>+2.7</f>
        <v>2.7</v>
      </c>
    </row>
    <row r="7">
      <c r="A7" s="8" t="s">
        <v>47</v>
      </c>
      <c r="B7" s="5" t="s">
        <v>170</v>
      </c>
      <c r="C7" s="9">
        <v>0.857</v>
      </c>
      <c r="D7" s="7">
        <v>12.9</v>
      </c>
      <c r="E7" s="7">
        <f>+2.4</f>
        <v>2.4</v>
      </c>
    </row>
    <row r="8">
      <c r="A8" s="8" t="s">
        <v>28</v>
      </c>
      <c r="B8" s="5" t="s">
        <v>170</v>
      </c>
      <c r="C8" s="9">
        <v>0.857</v>
      </c>
      <c r="D8" s="7">
        <v>18.5</v>
      </c>
      <c r="E8" s="7">
        <v>-0.6</v>
      </c>
    </row>
    <row r="9">
      <c r="A9" s="8" t="s">
        <v>126</v>
      </c>
      <c r="B9" s="5" t="s">
        <v>17</v>
      </c>
      <c r="C9" s="9">
        <v>0.846</v>
      </c>
      <c r="D9" s="7">
        <v>21.5</v>
      </c>
      <c r="E9" s="4">
        <f>+5.6</f>
        <v>5.6</v>
      </c>
    </row>
    <row r="10">
      <c r="A10" s="8" t="s">
        <v>113</v>
      </c>
      <c r="B10" s="5" t="s">
        <v>17</v>
      </c>
      <c r="C10" s="9">
        <v>0.846</v>
      </c>
      <c r="D10" s="7">
        <v>22.7</v>
      </c>
      <c r="E10" s="4">
        <f>+2.8</f>
        <v>2.8</v>
      </c>
    </row>
    <row r="11">
      <c r="A11" s="8" t="s">
        <v>138</v>
      </c>
      <c r="B11" s="5" t="s">
        <v>182</v>
      </c>
      <c r="C11" s="9">
        <v>0.786</v>
      </c>
      <c r="D11" s="7">
        <v>5.9</v>
      </c>
      <c r="E11" s="7">
        <v>-0.6</v>
      </c>
    </row>
    <row r="12">
      <c r="A12" s="8" t="s">
        <v>125</v>
      </c>
      <c r="B12" s="5" t="s">
        <v>182</v>
      </c>
      <c r="C12" s="9">
        <v>0.786</v>
      </c>
      <c r="D12" s="7">
        <v>13.8</v>
      </c>
      <c r="E12" s="7">
        <v>-0.4</v>
      </c>
    </row>
    <row r="13">
      <c r="A13" s="8" t="s">
        <v>58</v>
      </c>
      <c r="B13" s="5" t="s">
        <v>182</v>
      </c>
      <c r="C13" s="9">
        <v>0.786</v>
      </c>
      <c r="D13" s="7">
        <v>6.7</v>
      </c>
      <c r="E13" s="7">
        <f>+4.1</f>
        <v>4.1</v>
      </c>
    </row>
    <row r="14">
      <c r="A14" s="8" t="s">
        <v>42</v>
      </c>
      <c r="B14" s="5" t="s">
        <v>182</v>
      </c>
      <c r="C14" s="9">
        <v>0.786</v>
      </c>
      <c r="D14" s="7">
        <v>12.1</v>
      </c>
      <c r="E14" s="7">
        <f>+10.1</f>
        <v>10.1</v>
      </c>
    </row>
    <row r="15">
      <c r="A15" s="8" t="s">
        <v>7</v>
      </c>
      <c r="B15" s="5" t="s">
        <v>29</v>
      </c>
      <c r="C15" s="9">
        <v>0.769</v>
      </c>
      <c r="D15" s="7">
        <v>20.6</v>
      </c>
      <c r="E15" s="7">
        <f>+5.3</f>
        <v>5.3</v>
      </c>
    </row>
    <row r="16">
      <c r="A16" s="8" t="s">
        <v>111</v>
      </c>
      <c r="B16" s="5" t="s">
        <v>29</v>
      </c>
      <c r="C16" s="9">
        <v>0.769</v>
      </c>
      <c r="D16" s="7">
        <v>15.2</v>
      </c>
      <c r="E16" s="4">
        <f>+2.5</f>
        <v>2.5</v>
      </c>
    </row>
    <row r="17">
      <c r="A17" s="8" t="s">
        <v>61</v>
      </c>
      <c r="B17" s="5" t="s">
        <v>29</v>
      </c>
      <c r="C17" s="9">
        <v>0.769</v>
      </c>
      <c r="D17" s="7">
        <v>16.8</v>
      </c>
      <c r="E17" s="7">
        <f>+8.2</f>
        <v>8.2</v>
      </c>
    </row>
    <row r="18">
      <c r="A18" s="8" t="s">
        <v>129</v>
      </c>
      <c r="B18" s="5" t="s">
        <v>29</v>
      </c>
      <c r="C18" s="9">
        <v>0.769</v>
      </c>
      <c r="D18" s="7">
        <v>7.3</v>
      </c>
      <c r="E18" s="7">
        <f>+6.9</f>
        <v>6.9</v>
      </c>
    </row>
    <row r="19">
      <c r="A19" s="8" t="s">
        <v>152</v>
      </c>
      <c r="B19" s="5" t="s">
        <v>29</v>
      </c>
      <c r="C19" s="9">
        <v>0.769</v>
      </c>
      <c r="D19" s="7">
        <v>8.8</v>
      </c>
      <c r="E19" s="7">
        <f>+1.1</f>
        <v>1.1</v>
      </c>
    </row>
    <row r="20">
      <c r="A20" s="8" t="s">
        <v>64</v>
      </c>
      <c r="B20" s="5" t="s">
        <v>29</v>
      </c>
      <c r="C20" s="9">
        <v>0.769</v>
      </c>
      <c r="D20" s="7">
        <v>9.0</v>
      </c>
      <c r="E20" s="7">
        <f>+0.8</f>
        <v>0.8</v>
      </c>
    </row>
    <row r="21">
      <c r="A21" s="8" t="s">
        <v>145</v>
      </c>
      <c r="B21" s="5" t="s">
        <v>29</v>
      </c>
      <c r="C21" s="9">
        <v>0.769</v>
      </c>
      <c r="D21" s="7">
        <v>5.4</v>
      </c>
      <c r="E21" s="7">
        <v>-2.7</v>
      </c>
    </row>
    <row r="22">
      <c r="A22" s="8" t="s">
        <v>81</v>
      </c>
      <c r="B22" s="5" t="s">
        <v>29</v>
      </c>
      <c r="C22" s="9">
        <v>0.769</v>
      </c>
      <c r="D22" s="7">
        <v>14.2</v>
      </c>
      <c r="E22" s="7">
        <f>+4</f>
        <v>4</v>
      </c>
    </row>
    <row r="23">
      <c r="A23" s="8" t="s">
        <v>99</v>
      </c>
      <c r="B23" s="5" t="s">
        <v>34</v>
      </c>
      <c r="C23" s="9">
        <v>0.75</v>
      </c>
      <c r="D23" s="7">
        <v>15.7</v>
      </c>
      <c r="E23" s="4">
        <f>+5</f>
        <v>5</v>
      </c>
    </row>
    <row r="24">
      <c r="A24" s="8" t="s">
        <v>94</v>
      </c>
      <c r="B24" s="5" t="s">
        <v>203</v>
      </c>
      <c r="C24" s="9">
        <v>0.714</v>
      </c>
      <c r="D24" s="7">
        <v>7.2</v>
      </c>
      <c r="E24" s="4">
        <f>+0.7</f>
        <v>0.7</v>
      </c>
    </row>
    <row r="25">
      <c r="A25" s="8" t="s">
        <v>40</v>
      </c>
      <c r="B25" s="5" t="s">
        <v>203</v>
      </c>
      <c r="C25" s="9">
        <v>0.714</v>
      </c>
      <c r="D25" s="7">
        <v>6.3</v>
      </c>
      <c r="E25" s="7">
        <f>+3.1</f>
        <v>3.1</v>
      </c>
    </row>
    <row r="26">
      <c r="A26" s="8" t="s">
        <v>48</v>
      </c>
      <c r="B26" s="5" t="s">
        <v>46</v>
      </c>
      <c r="C26" s="9">
        <v>0.692</v>
      </c>
      <c r="D26" s="7">
        <v>6.2</v>
      </c>
      <c r="E26" s="7">
        <v>-0.4</v>
      </c>
    </row>
    <row r="27">
      <c r="A27" s="8" t="s">
        <v>106</v>
      </c>
      <c r="B27" s="5" t="s">
        <v>46</v>
      </c>
      <c r="C27" s="9">
        <v>0.692</v>
      </c>
      <c r="D27" s="7">
        <v>8.9</v>
      </c>
      <c r="E27" s="7">
        <f>+1</f>
        <v>1</v>
      </c>
    </row>
    <row r="28">
      <c r="A28" s="8" t="s">
        <v>12</v>
      </c>
      <c r="B28" s="5" t="s">
        <v>46</v>
      </c>
      <c r="C28" s="9">
        <v>0.692</v>
      </c>
      <c r="D28" s="7">
        <v>12.3</v>
      </c>
      <c r="E28" s="7">
        <f>+1.9</f>
        <v>1.9</v>
      </c>
    </row>
    <row r="29">
      <c r="A29" s="8" t="s">
        <v>92</v>
      </c>
      <c r="B29" s="5" t="s">
        <v>46</v>
      </c>
      <c r="C29" s="9">
        <v>0.692</v>
      </c>
      <c r="D29" s="7">
        <v>12.6</v>
      </c>
      <c r="E29" s="7">
        <f>+3.7</f>
        <v>3.7</v>
      </c>
    </row>
    <row r="30">
      <c r="A30" s="8" t="s">
        <v>77</v>
      </c>
      <c r="B30" s="5" t="s">
        <v>46</v>
      </c>
      <c r="C30" s="9">
        <v>0.692</v>
      </c>
      <c r="D30" s="7">
        <v>11.4</v>
      </c>
      <c r="E30" s="7">
        <f>+1.6</f>
        <v>1.6</v>
      </c>
    </row>
    <row r="31">
      <c r="A31" s="8" t="s">
        <v>78</v>
      </c>
      <c r="B31" s="5" t="s">
        <v>46</v>
      </c>
      <c r="C31" s="9">
        <v>0.692</v>
      </c>
      <c r="D31" s="7">
        <v>6.8</v>
      </c>
      <c r="E31" s="7">
        <f>+2.3</f>
        <v>2.3</v>
      </c>
    </row>
    <row r="32">
      <c r="A32" s="8" t="s">
        <v>62</v>
      </c>
      <c r="B32" s="5" t="s">
        <v>46</v>
      </c>
      <c r="C32" s="9">
        <v>0.692</v>
      </c>
      <c r="D32" s="7">
        <v>9.4</v>
      </c>
      <c r="E32" s="7">
        <f>+1.1</f>
        <v>1.1</v>
      </c>
    </row>
    <row r="33">
      <c r="A33" s="8" t="s">
        <v>93</v>
      </c>
      <c r="B33" s="5" t="s">
        <v>46</v>
      </c>
      <c r="C33" s="9">
        <v>0.692</v>
      </c>
      <c r="D33" s="7">
        <v>3.5</v>
      </c>
      <c r="E33" s="7">
        <v>-1.7</v>
      </c>
    </row>
    <row r="34">
      <c r="A34" s="8" t="s">
        <v>24</v>
      </c>
      <c r="B34" s="5" t="s">
        <v>46</v>
      </c>
      <c r="C34" s="9">
        <v>0.692</v>
      </c>
      <c r="D34" s="7">
        <v>6.4</v>
      </c>
      <c r="E34" s="7">
        <f t="shared" ref="E34:E35" si="1">+3</f>
        <v>3</v>
      </c>
    </row>
    <row r="35">
      <c r="A35" s="8" t="s">
        <v>41</v>
      </c>
      <c r="B35" s="5" t="s">
        <v>46</v>
      </c>
      <c r="C35" s="9">
        <v>0.692</v>
      </c>
      <c r="D35" s="7">
        <v>10.7</v>
      </c>
      <c r="E35" s="7">
        <f t="shared" si="1"/>
        <v>3</v>
      </c>
    </row>
    <row r="36">
      <c r="A36" s="8" t="s">
        <v>70</v>
      </c>
      <c r="B36" s="5" t="s">
        <v>46</v>
      </c>
      <c r="C36" s="9">
        <v>0.692</v>
      </c>
      <c r="D36" s="7">
        <v>10.6</v>
      </c>
      <c r="E36" s="7">
        <f>+3.3</f>
        <v>3.3</v>
      </c>
    </row>
    <row r="37">
      <c r="A37" s="8" t="s">
        <v>74</v>
      </c>
      <c r="B37" s="5" t="s">
        <v>224</v>
      </c>
      <c r="C37" s="9">
        <v>0.643</v>
      </c>
      <c r="D37" s="7">
        <v>12.6</v>
      </c>
      <c r="E37" s="4">
        <f>+12.9</f>
        <v>12.9</v>
      </c>
    </row>
    <row r="38">
      <c r="A38" s="8" t="s">
        <v>45</v>
      </c>
      <c r="B38" s="5" t="s">
        <v>69</v>
      </c>
      <c r="C38" s="9">
        <v>0.615</v>
      </c>
      <c r="D38" s="7">
        <v>8.8</v>
      </c>
      <c r="E38" s="7">
        <f>+7</f>
        <v>7</v>
      </c>
    </row>
    <row r="39">
      <c r="A39" s="8" t="s">
        <v>108</v>
      </c>
      <c r="B39" s="5" t="s">
        <v>69</v>
      </c>
      <c r="C39" s="9">
        <v>0.615</v>
      </c>
      <c r="D39" s="7">
        <v>0.3</v>
      </c>
      <c r="E39" s="7">
        <f>+1.7</f>
        <v>1.7</v>
      </c>
    </row>
    <row r="40">
      <c r="A40" s="8" t="s">
        <v>26</v>
      </c>
      <c r="B40" s="5" t="s">
        <v>69</v>
      </c>
      <c r="C40" s="9">
        <v>0.615</v>
      </c>
      <c r="D40" s="7">
        <v>4.5</v>
      </c>
      <c r="E40" s="7">
        <v>-1.0</v>
      </c>
    </row>
    <row r="41">
      <c r="A41" s="8" t="s">
        <v>20</v>
      </c>
      <c r="B41" s="5" t="s">
        <v>69</v>
      </c>
      <c r="C41" s="9">
        <v>0.615</v>
      </c>
      <c r="D41" s="7">
        <v>3.7</v>
      </c>
      <c r="E41" s="7">
        <v>-2.8</v>
      </c>
    </row>
    <row r="42">
      <c r="A42" s="8" t="s">
        <v>75</v>
      </c>
      <c r="B42" s="5" t="s">
        <v>69</v>
      </c>
      <c r="C42" s="9">
        <v>0.615</v>
      </c>
      <c r="D42" s="7">
        <v>10.1</v>
      </c>
      <c r="E42" s="7">
        <f>+0.8</f>
        <v>0.8</v>
      </c>
    </row>
    <row r="43">
      <c r="A43" s="8" t="s">
        <v>110</v>
      </c>
      <c r="B43" s="5" t="s">
        <v>69</v>
      </c>
      <c r="C43" s="9">
        <v>0.615</v>
      </c>
      <c r="D43" s="7">
        <v>8.8</v>
      </c>
      <c r="E43" s="7">
        <v>-4.2</v>
      </c>
    </row>
    <row r="44">
      <c r="A44" s="8" t="s">
        <v>76</v>
      </c>
      <c r="B44" s="5" t="s">
        <v>69</v>
      </c>
      <c r="C44" s="9">
        <v>0.615</v>
      </c>
      <c r="D44" s="7">
        <v>4.2</v>
      </c>
      <c r="E44" s="7">
        <f>+4.3</f>
        <v>4.3</v>
      </c>
    </row>
    <row r="45">
      <c r="A45" s="8" t="s">
        <v>14</v>
      </c>
      <c r="B45" s="5" t="s">
        <v>69</v>
      </c>
      <c r="C45" s="9">
        <v>0.615</v>
      </c>
      <c r="D45" s="7">
        <v>7.2</v>
      </c>
      <c r="E45" s="7">
        <v>-0.9</v>
      </c>
    </row>
    <row r="46">
      <c r="A46" s="8" t="s">
        <v>23</v>
      </c>
      <c r="B46" s="5" t="s">
        <v>69</v>
      </c>
      <c r="C46" s="9">
        <v>0.615</v>
      </c>
      <c r="D46" s="7">
        <v>10.5</v>
      </c>
      <c r="E46" s="7">
        <v>-5.2</v>
      </c>
    </row>
    <row r="47">
      <c r="A47" s="8" t="s">
        <v>59</v>
      </c>
      <c r="B47" s="5" t="s">
        <v>69</v>
      </c>
      <c r="C47" s="9">
        <v>0.615</v>
      </c>
      <c r="D47" s="7">
        <v>10.0</v>
      </c>
      <c r="E47" s="7">
        <v>-1.6</v>
      </c>
    </row>
    <row r="48">
      <c r="A48" s="8" t="s">
        <v>36</v>
      </c>
      <c r="B48" s="5" t="s">
        <v>69</v>
      </c>
      <c r="C48" s="9">
        <v>0.615</v>
      </c>
      <c r="D48" s="7">
        <v>9.2</v>
      </c>
      <c r="E48" s="7">
        <v>0.0</v>
      </c>
    </row>
    <row r="49">
      <c r="A49" s="8" t="s">
        <v>19</v>
      </c>
      <c r="B49" s="5" t="s">
        <v>69</v>
      </c>
      <c r="C49" s="9">
        <v>0.615</v>
      </c>
      <c r="D49" s="7">
        <v>9.5</v>
      </c>
      <c r="E49" s="7">
        <v>-2.0</v>
      </c>
    </row>
    <row r="50">
      <c r="A50" s="8" t="s">
        <v>131</v>
      </c>
      <c r="B50" s="5" t="s">
        <v>69</v>
      </c>
      <c r="C50" s="9">
        <v>0.615</v>
      </c>
      <c r="D50" s="7">
        <v>10.8</v>
      </c>
      <c r="E50" s="7">
        <f>+0.8</f>
        <v>0.8</v>
      </c>
    </row>
    <row r="51">
      <c r="A51" s="8" t="s">
        <v>82</v>
      </c>
      <c r="B51" s="5" t="s">
        <v>69</v>
      </c>
      <c r="C51" s="9">
        <v>0.615</v>
      </c>
      <c r="D51" s="7">
        <v>3.2</v>
      </c>
      <c r="E51" s="7">
        <f>+0.5</f>
        <v>0.5</v>
      </c>
    </row>
    <row r="52">
      <c r="A52" s="8" t="s">
        <v>116</v>
      </c>
      <c r="B52" s="5" t="s">
        <v>69</v>
      </c>
      <c r="C52" s="9">
        <v>0.615</v>
      </c>
      <c r="D52" s="7">
        <v>-3.5</v>
      </c>
      <c r="E52" s="7">
        <v>-0.3</v>
      </c>
    </row>
    <row r="53">
      <c r="A53" s="8" t="s">
        <v>67</v>
      </c>
      <c r="B53" s="5" t="s">
        <v>69</v>
      </c>
      <c r="C53" s="9">
        <v>0.615</v>
      </c>
      <c r="D53" s="7">
        <v>4.5</v>
      </c>
      <c r="E53" s="7">
        <f>+4.1</f>
        <v>4.1</v>
      </c>
    </row>
    <row r="54">
      <c r="A54" s="8" t="s">
        <v>124</v>
      </c>
      <c r="B54" s="5" t="s">
        <v>73</v>
      </c>
      <c r="C54" s="9">
        <v>0.583</v>
      </c>
      <c r="D54" s="7">
        <v>9.2</v>
      </c>
      <c r="E54" s="7">
        <f>+2.1</f>
        <v>2.1</v>
      </c>
    </row>
    <row r="55">
      <c r="A55" s="8" t="s">
        <v>117</v>
      </c>
      <c r="B55" s="5" t="s">
        <v>73</v>
      </c>
      <c r="C55" s="9">
        <v>0.583</v>
      </c>
      <c r="D55" s="7">
        <v>8.3</v>
      </c>
      <c r="E55" s="7">
        <f>+9.8</f>
        <v>9.8</v>
      </c>
    </row>
    <row r="56">
      <c r="A56" s="8" t="s">
        <v>98</v>
      </c>
      <c r="B56" s="5" t="s">
        <v>73</v>
      </c>
      <c r="C56" s="9">
        <v>0.583</v>
      </c>
      <c r="D56" s="7">
        <v>6.2</v>
      </c>
      <c r="E56" s="7">
        <f>+4.5</f>
        <v>4.5</v>
      </c>
    </row>
    <row r="57">
      <c r="A57" s="8" t="s">
        <v>121</v>
      </c>
      <c r="B57" s="5" t="s">
        <v>244</v>
      </c>
      <c r="C57" s="9">
        <v>0.571</v>
      </c>
      <c r="D57" s="7">
        <v>-3.5</v>
      </c>
      <c r="E57" s="7">
        <v>-5.5</v>
      </c>
    </row>
    <row r="58">
      <c r="A58" s="8" t="s">
        <v>63</v>
      </c>
      <c r="B58" s="5" t="s">
        <v>244</v>
      </c>
      <c r="C58" s="9">
        <v>0.571</v>
      </c>
      <c r="D58" s="7">
        <v>5.4</v>
      </c>
      <c r="E58" s="7">
        <f>+1.7</f>
        <v>1.7</v>
      </c>
    </row>
    <row r="59">
      <c r="A59" s="8" t="s">
        <v>72</v>
      </c>
      <c r="B59" s="5" t="s">
        <v>88</v>
      </c>
      <c r="C59" s="9">
        <v>0.539</v>
      </c>
      <c r="D59" s="7">
        <v>1.8</v>
      </c>
      <c r="E59" s="7">
        <v>-0.1</v>
      </c>
    </row>
    <row r="60">
      <c r="A60" s="8" t="s">
        <v>140</v>
      </c>
      <c r="B60" s="5" t="s">
        <v>88</v>
      </c>
      <c r="C60" s="9">
        <v>0.539</v>
      </c>
      <c r="D60" s="7">
        <v>1.9</v>
      </c>
      <c r="E60" s="7">
        <f>+1.4</f>
        <v>1.4</v>
      </c>
    </row>
    <row r="61">
      <c r="A61" s="8" t="s">
        <v>148</v>
      </c>
      <c r="B61" s="5" t="s">
        <v>88</v>
      </c>
      <c r="C61" s="9">
        <v>0.539</v>
      </c>
      <c r="D61" s="7">
        <v>-1.5</v>
      </c>
      <c r="E61" s="7">
        <f>+4.9</f>
        <v>4.9</v>
      </c>
    </row>
    <row r="62">
      <c r="A62" s="8" t="s">
        <v>123</v>
      </c>
      <c r="B62" s="5" t="s">
        <v>88</v>
      </c>
      <c r="C62" s="9">
        <v>0.539</v>
      </c>
      <c r="D62" s="7">
        <v>2.2</v>
      </c>
      <c r="E62" s="7">
        <v>-4.3</v>
      </c>
    </row>
    <row r="63">
      <c r="A63" s="8" t="s">
        <v>54</v>
      </c>
      <c r="B63" s="5" t="s">
        <v>88</v>
      </c>
      <c r="C63" s="9">
        <v>0.539</v>
      </c>
      <c r="D63" s="7">
        <v>4.7</v>
      </c>
      <c r="E63" s="7">
        <f>+4.7</f>
        <v>4.7</v>
      </c>
    </row>
    <row r="64">
      <c r="A64" s="8" t="s">
        <v>150</v>
      </c>
      <c r="B64" s="5" t="s">
        <v>88</v>
      </c>
      <c r="C64" s="9">
        <v>0.539</v>
      </c>
      <c r="D64" s="7">
        <v>12.7</v>
      </c>
      <c r="E64" s="7">
        <f>+9.7</f>
        <v>9.7</v>
      </c>
    </row>
    <row r="65">
      <c r="A65" s="8" t="s">
        <v>91</v>
      </c>
      <c r="B65" s="5" t="s">
        <v>88</v>
      </c>
      <c r="C65" s="9">
        <v>0.539</v>
      </c>
      <c r="D65" s="7">
        <v>2.0</v>
      </c>
      <c r="E65" s="7">
        <v>-1.5</v>
      </c>
    </row>
    <row r="66">
      <c r="A66" s="8" t="s">
        <v>56</v>
      </c>
      <c r="B66" s="5" t="s">
        <v>88</v>
      </c>
      <c r="C66" s="9">
        <v>0.539</v>
      </c>
      <c r="D66" s="7">
        <v>2.6</v>
      </c>
      <c r="E66" s="7">
        <v>-1.0</v>
      </c>
    </row>
    <row r="67">
      <c r="A67" s="8" t="s">
        <v>156</v>
      </c>
      <c r="B67" s="5" t="s">
        <v>88</v>
      </c>
      <c r="C67" s="9">
        <v>0.539</v>
      </c>
      <c r="D67" s="7">
        <v>-3.6</v>
      </c>
      <c r="E67" s="7">
        <v>-2.9</v>
      </c>
    </row>
    <row r="68">
      <c r="A68" s="8" t="s">
        <v>95</v>
      </c>
      <c r="B68" s="5" t="s">
        <v>88</v>
      </c>
      <c r="C68" s="9">
        <v>0.539</v>
      </c>
      <c r="D68" s="7">
        <v>6.2</v>
      </c>
      <c r="E68" s="7">
        <f>+0.5</f>
        <v>0.5</v>
      </c>
    </row>
    <row r="69">
      <c r="A69" s="8" t="s">
        <v>39</v>
      </c>
      <c r="B69" s="5" t="s">
        <v>88</v>
      </c>
      <c r="C69" s="9">
        <v>0.539</v>
      </c>
      <c r="D69" s="7">
        <v>5.2</v>
      </c>
      <c r="E69" s="4">
        <f>+1.4</f>
        <v>1.4</v>
      </c>
    </row>
    <row r="70">
      <c r="A70" s="8" t="s">
        <v>133</v>
      </c>
      <c r="B70" s="5" t="s">
        <v>88</v>
      </c>
      <c r="C70" s="9">
        <v>0.539</v>
      </c>
      <c r="D70" s="7">
        <v>-1.7</v>
      </c>
      <c r="E70" s="7">
        <v>-1.1</v>
      </c>
    </row>
    <row r="71">
      <c r="A71" s="8" t="s">
        <v>146</v>
      </c>
      <c r="B71" s="5" t="s">
        <v>88</v>
      </c>
      <c r="C71" s="9">
        <v>0.539</v>
      </c>
      <c r="D71" s="7">
        <v>3.9</v>
      </c>
      <c r="E71" s="7">
        <v>-0.7</v>
      </c>
    </row>
    <row r="72">
      <c r="A72" s="8" t="s">
        <v>154</v>
      </c>
      <c r="B72" s="5" t="s">
        <v>88</v>
      </c>
      <c r="C72" s="9">
        <v>0.539</v>
      </c>
      <c r="D72" s="7">
        <v>4.9</v>
      </c>
      <c r="E72" s="7">
        <f>+3.3</f>
        <v>3.3</v>
      </c>
    </row>
    <row r="73">
      <c r="A73" s="8" t="s">
        <v>134</v>
      </c>
      <c r="B73" s="5" t="s">
        <v>88</v>
      </c>
      <c r="C73" s="9">
        <v>0.539</v>
      </c>
      <c r="D73" s="7">
        <v>5.8</v>
      </c>
      <c r="E73" s="7">
        <f>+2.8</f>
        <v>2.8</v>
      </c>
    </row>
    <row r="74">
      <c r="A74" s="8" t="s">
        <v>50</v>
      </c>
      <c r="B74" s="5" t="s">
        <v>90</v>
      </c>
      <c r="C74" s="9">
        <v>0.5</v>
      </c>
      <c r="D74" s="7">
        <v>-4.3</v>
      </c>
      <c r="E74" s="7">
        <v>-2.0</v>
      </c>
    </row>
    <row r="75">
      <c r="A75" s="8" t="s">
        <v>127</v>
      </c>
      <c r="B75" s="5" t="s">
        <v>90</v>
      </c>
      <c r="C75" s="9">
        <v>0.5</v>
      </c>
      <c r="D75" s="7">
        <v>3.3</v>
      </c>
      <c r="E75" s="7">
        <f>+6.1</f>
        <v>6.1</v>
      </c>
    </row>
    <row r="76">
      <c r="A76" s="8" t="s">
        <v>144</v>
      </c>
      <c r="B76" s="5" t="s">
        <v>90</v>
      </c>
      <c r="C76" s="9">
        <v>0.5</v>
      </c>
      <c r="D76" s="7">
        <v>0.1</v>
      </c>
      <c r="E76" s="7">
        <v>-1.2</v>
      </c>
    </row>
    <row r="77">
      <c r="A77" s="8" t="s">
        <v>115</v>
      </c>
      <c r="B77" s="5" t="s">
        <v>90</v>
      </c>
      <c r="C77" s="9">
        <v>0.5</v>
      </c>
      <c r="D77" s="7">
        <v>5.6</v>
      </c>
      <c r="E77" s="7">
        <f>+5.5</f>
        <v>5.5</v>
      </c>
    </row>
    <row r="78">
      <c r="A78" s="8" t="s">
        <v>136</v>
      </c>
      <c r="B78" s="5" t="s">
        <v>350</v>
      </c>
      <c r="C78" s="9">
        <v>0.5</v>
      </c>
      <c r="D78" s="7">
        <v>-10.0</v>
      </c>
      <c r="E78" s="7">
        <f>+6</f>
        <v>6</v>
      </c>
    </row>
    <row r="79">
      <c r="A79" s="8" t="s">
        <v>44</v>
      </c>
      <c r="B79" s="5" t="s">
        <v>90</v>
      </c>
      <c r="C79" s="9">
        <v>0.5</v>
      </c>
      <c r="D79" s="7">
        <v>-5.3</v>
      </c>
      <c r="E79" s="7">
        <v>-3.1</v>
      </c>
    </row>
    <row r="80">
      <c r="A80" s="8" t="s">
        <v>55</v>
      </c>
      <c r="B80" s="5" t="s">
        <v>261</v>
      </c>
      <c r="C80" s="9">
        <v>0.462</v>
      </c>
      <c r="D80" s="7">
        <v>-8.1</v>
      </c>
      <c r="E80" s="7">
        <v>-1.7</v>
      </c>
    </row>
    <row r="81">
      <c r="A81" s="8" t="s">
        <v>35</v>
      </c>
      <c r="B81" s="5" t="s">
        <v>261</v>
      </c>
      <c r="C81" s="9">
        <v>0.462</v>
      </c>
      <c r="D81" s="7">
        <v>-2.5</v>
      </c>
      <c r="E81" s="7">
        <v>-1.2</v>
      </c>
    </row>
    <row r="82">
      <c r="A82" s="8" t="s">
        <v>25</v>
      </c>
      <c r="B82" s="5" t="s">
        <v>261</v>
      </c>
      <c r="C82" s="9">
        <v>0.462</v>
      </c>
      <c r="D82" s="7">
        <v>4.9</v>
      </c>
      <c r="E82" s="7">
        <v>-2.8</v>
      </c>
    </row>
    <row r="83">
      <c r="A83" s="8" t="s">
        <v>132</v>
      </c>
      <c r="B83" s="5" t="s">
        <v>261</v>
      </c>
      <c r="C83" s="9">
        <v>0.462</v>
      </c>
      <c r="D83" s="7">
        <v>-5.8</v>
      </c>
      <c r="E83" s="7">
        <v>-5.6</v>
      </c>
    </row>
    <row r="84">
      <c r="A84" s="8" t="s">
        <v>66</v>
      </c>
      <c r="B84" s="5" t="s">
        <v>261</v>
      </c>
      <c r="C84" s="9">
        <v>0.462</v>
      </c>
      <c r="D84" s="7">
        <v>5.5</v>
      </c>
      <c r="E84" s="7">
        <v>-0.5</v>
      </c>
    </row>
    <row r="85">
      <c r="A85" s="8" t="s">
        <v>137</v>
      </c>
      <c r="B85" s="5" t="s">
        <v>261</v>
      </c>
      <c r="C85" s="9">
        <v>0.462</v>
      </c>
      <c r="D85" s="7">
        <v>-3.8</v>
      </c>
      <c r="E85" s="7">
        <v>-2.8</v>
      </c>
    </row>
    <row r="86">
      <c r="A86" s="8" t="s">
        <v>104</v>
      </c>
      <c r="B86" s="5" t="s">
        <v>274</v>
      </c>
      <c r="C86" s="9">
        <v>0.455</v>
      </c>
      <c r="D86" s="7">
        <v>0.7</v>
      </c>
      <c r="E86" s="7">
        <v>-2.0</v>
      </c>
    </row>
    <row r="87">
      <c r="A87" s="8" t="s">
        <v>53</v>
      </c>
      <c r="B87" s="5" t="s">
        <v>405</v>
      </c>
      <c r="C87" s="9">
        <v>0.429</v>
      </c>
      <c r="D87" s="7">
        <v>-5.9</v>
      </c>
      <c r="E87" s="7">
        <v>-3.7</v>
      </c>
    </row>
    <row r="88">
      <c r="A88" s="8" t="s">
        <v>120</v>
      </c>
      <c r="B88" s="5" t="s">
        <v>103</v>
      </c>
      <c r="C88" s="9">
        <v>0.417</v>
      </c>
      <c r="D88" s="7">
        <v>0.5</v>
      </c>
      <c r="E88" s="7">
        <f>+0.4</f>
        <v>0.4</v>
      </c>
    </row>
    <row r="89">
      <c r="A89" s="8" t="s">
        <v>102</v>
      </c>
      <c r="B89" s="5" t="s">
        <v>103</v>
      </c>
      <c r="C89" s="9">
        <v>0.417</v>
      </c>
      <c r="D89" s="7">
        <v>-0.5</v>
      </c>
      <c r="E89" s="7">
        <v>-4.4</v>
      </c>
    </row>
    <row r="90">
      <c r="A90" s="8" t="s">
        <v>109</v>
      </c>
      <c r="B90" s="5" t="s">
        <v>103</v>
      </c>
      <c r="C90" s="9">
        <v>0.417</v>
      </c>
      <c r="D90" s="7">
        <v>-2.1</v>
      </c>
      <c r="E90" s="7">
        <v>-0.4</v>
      </c>
    </row>
    <row r="91">
      <c r="A91" s="8" t="s">
        <v>89</v>
      </c>
      <c r="B91" s="5" t="s">
        <v>103</v>
      </c>
      <c r="C91" s="9">
        <v>0.417</v>
      </c>
      <c r="D91" s="7">
        <v>-2.2</v>
      </c>
      <c r="E91" s="7">
        <v>-1.8</v>
      </c>
    </row>
    <row r="92">
      <c r="A92" s="8" t="s">
        <v>33</v>
      </c>
      <c r="B92" s="5" t="s">
        <v>103</v>
      </c>
      <c r="C92" s="9">
        <v>0.417</v>
      </c>
      <c r="D92" s="7">
        <v>-1.5</v>
      </c>
      <c r="E92" s="7">
        <v>-5.8</v>
      </c>
    </row>
    <row r="93">
      <c r="A93" s="8" t="s">
        <v>80</v>
      </c>
      <c r="B93" s="5" t="s">
        <v>103</v>
      </c>
      <c r="C93" s="9">
        <v>0.417</v>
      </c>
      <c r="D93" s="7">
        <v>-1.5</v>
      </c>
      <c r="E93" s="7">
        <v>0.0</v>
      </c>
    </row>
    <row r="94">
      <c r="A94" s="8" t="s">
        <v>153</v>
      </c>
      <c r="B94" s="5" t="s">
        <v>103</v>
      </c>
      <c r="C94" s="9">
        <v>0.417</v>
      </c>
      <c r="D94" s="7">
        <v>-5.9</v>
      </c>
      <c r="E94" s="7">
        <v>-7.3</v>
      </c>
    </row>
    <row r="95">
      <c r="A95" s="8" t="s">
        <v>31</v>
      </c>
      <c r="B95" s="5" t="s">
        <v>103</v>
      </c>
      <c r="C95" s="9">
        <v>0.417</v>
      </c>
      <c r="D95" s="7">
        <v>1.8</v>
      </c>
      <c r="E95" s="7">
        <f>+3</f>
        <v>3</v>
      </c>
    </row>
    <row r="96">
      <c r="A96" s="8" t="s">
        <v>5</v>
      </c>
      <c r="B96" s="5" t="s">
        <v>119</v>
      </c>
      <c r="C96" s="9">
        <v>0.333</v>
      </c>
      <c r="D96" s="7">
        <v>-7.8</v>
      </c>
      <c r="E96" s="7">
        <v>-4.4</v>
      </c>
    </row>
    <row r="97">
      <c r="A97" s="8" t="s">
        <v>10</v>
      </c>
      <c r="B97" s="5" t="s">
        <v>119</v>
      </c>
      <c r="C97" s="9">
        <v>0.333</v>
      </c>
      <c r="D97" s="7">
        <v>-10.8</v>
      </c>
      <c r="E97" s="7">
        <v>-7.7</v>
      </c>
    </row>
    <row r="98">
      <c r="A98" s="8" t="s">
        <v>85</v>
      </c>
      <c r="B98" s="5" t="s">
        <v>119</v>
      </c>
      <c r="C98" s="9">
        <v>0.333</v>
      </c>
      <c r="D98" s="7">
        <v>-8.0</v>
      </c>
      <c r="E98" s="7">
        <v>-4.5</v>
      </c>
    </row>
    <row r="99">
      <c r="A99" s="8" t="s">
        <v>37</v>
      </c>
      <c r="B99" s="5" t="s">
        <v>119</v>
      </c>
      <c r="C99" s="9">
        <v>0.333</v>
      </c>
      <c r="D99" s="7">
        <v>-9.8</v>
      </c>
      <c r="E99" s="7">
        <v>-4.0</v>
      </c>
    </row>
    <row r="100">
      <c r="A100" s="8" t="s">
        <v>143</v>
      </c>
      <c r="B100" s="5" t="s">
        <v>119</v>
      </c>
      <c r="C100" s="9">
        <v>0.333</v>
      </c>
      <c r="D100" s="7">
        <v>-6.2</v>
      </c>
      <c r="E100" s="7">
        <f>+0.7</f>
        <v>0.7</v>
      </c>
    </row>
    <row r="101">
      <c r="A101" s="8" t="s">
        <v>18</v>
      </c>
      <c r="B101" s="5" t="s">
        <v>119</v>
      </c>
      <c r="C101" s="9">
        <v>0.333</v>
      </c>
      <c r="D101" s="7">
        <v>-2.7</v>
      </c>
      <c r="E101" s="7">
        <v>-1.2</v>
      </c>
    </row>
    <row r="102">
      <c r="A102" s="8" t="s">
        <v>38</v>
      </c>
      <c r="B102" s="5" t="s">
        <v>119</v>
      </c>
      <c r="C102" s="9">
        <v>0.333</v>
      </c>
      <c r="D102" s="7">
        <v>-8.3</v>
      </c>
      <c r="E102" s="7">
        <v>-0.1</v>
      </c>
    </row>
    <row r="103">
      <c r="A103" s="8" t="s">
        <v>130</v>
      </c>
      <c r="B103" s="5" t="s">
        <v>119</v>
      </c>
      <c r="C103" s="9">
        <v>0.333</v>
      </c>
      <c r="D103" s="7">
        <v>-11.8</v>
      </c>
      <c r="E103" s="7">
        <v>-0.7</v>
      </c>
    </row>
    <row r="104">
      <c r="A104" s="8" t="s">
        <v>83</v>
      </c>
      <c r="B104" s="5" t="s">
        <v>119</v>
      </c>
      <c r="C104" s="9">
        <v>0.333</v>
      </c>
      <c r="D104" s="7">
        <v>-1.8</v>
      </c>
      <c r="E104" s="7">
        <f>+7.1</f>
        <v>7.1</v>
      </c>
    </row>
    <row r="105">
      <c r="A105" s="8" t="s">
        <v>101</v>
      </c>
      <c r="B105" s="5" t="s">
        <v>119</v>
      </c>
      <c r="C105" s="9">
        <v>0.333</v>
      </c>
      <c r="D105" s="7">
        <v>-8.8</v>
      </c>
      <c r="E105" s="7">
        <v>-8.8</v>
      </c>
    </row>
    <row r="106">
      <c r="A106" s="8" t="s">
        <v>52</v>
      </c>
      <c r="B106" s="5" t="s">
        <v>399</v>
      </c>
      <c r="C106" s="9">
        <v>0.308</v>
      </c>
      <c r="D106" s="7">
        <v>-5.9</v>
      </c>
      <c r="E106" s="7">
        <v>0.0</v>
      </c>
    </row>
    <row r="107">
      <c r="A107" s="8" t="s">
        <v>141</v>
      </c>
      <c r="B107" s="5" t="s">
        <v>139</v>
      </c>
      <c r="C107" s="9">
        <v>0.25</v>
      </c>
      <c r="D107" s="7">
        <v>-10.1</v>
      </c>
      <c r="E107" s="7">
        <v>-6.9</v>
      </c>
    </row>
    <row r="108">
      <c r="A108" s="8" t="s">
        <v>22</v>
      </c>
      <c r="B108" s="5" t="s">
        <v>139</v>
      </c>
      <c r="C108" s="9">
        <v>0.25</v>
      </c>
      <c r="D108" s="7">
        <v>-16.1</v>
      </c>
      <c r="E108" s="7">
        <v>-5.5</v>
      </c>
    </row>
    <row r="109">
      <c r="A109" s="8" t="s">
        <v>151</v>
      </c>
      <c r="B109" s="5" t="s">
        <v>139</v>
      </c>
      <c r="C109" s="9">
        <v>0.25</v>
      </c>
      <c r="D109" s="7">
        <v>-7.8</v>
      </c>
      <c r="E109" s="7">
        <f>+1.3</f>
        <v>1.3</v>
      </c>
    </row>
    <row r="110">
      <c r="A110" s="8" t="s">
        <v>112</v>
      </c>
      <c r="B110" s="5" t="s">
        <v>139</v>
      </c>
      <c r="C110" s="9">
        <v>0.25</v>
      </c>
      <c r="D110" s="7">
        <v>-15.4</v>
      </c>
      <c r="E110" s="7">
        <v>-1.7</v>
      </c>
    </row>
    <row r="111">
      <c r="A111" s="8" t="s">
        <v>79</v>
      </c>
      <c r="B111" s="5" t="s">
        <v>139</v>
      </c>
      <c r="C111" s="9">
        <v>0.25</v>
      </c>
      <c r="D111" s="7">
        <v>-16.4</v>
      </c>
      <c r="E111" s="7">
        <v>-6.0</v>
      </c>
    </row>
    <row r="112">
      <c r="A112" s="8" t="s">
        <v>16</v>
      </c>
      <c r="B112" s="5" t="s">
        <v>139</v>
      </c>
      <c r="C112" s="9">
        <v>0.25</v>
      </c>
      <c r="D112" s="7">
        <v>-12.4</v>
      </c>
      <c r="E112" s="7">
        <v>-3.5</v>
      </c>
    </row>
    <row r="113">
      <c r="A113" s="8" t="s">
        <v>68</v>
      </c>
      <c r="B113" s="5" t="s">
        <v>139</v>
      </c>
      <c r="C113" s="9">
        <v>0.25</v>
      </c>
      <c r="D113" s="7">
        <v>-14.3</v>
      </c>
      <c r="E113" s="7">
        <v>-6.6</v>
      </c>
    </row>
    <row r="114">
      <c r="A114" s="8" t="s">
        <v>96</v>
      </c>
      <c r="B114" s="5" t="s">
        <v>139</v>
      </c>
      <c r="C114" s="9">
        <v>0.25</v>
      </c>
      <c r="D114" s="7">
        <v>-6.8</v>
      </c>
      <c r="E114" s="7">
        <v>-2.5</v>
      </c>
    </row>
    <row r="115">
      <c r="A115" s="8" t="s">
        <v>65</v>
      </c>
      <c r="B115" s="5" t="s">
        <v>139</v>
      </c>
      <c r="C115" s="9">
        <v>0.25</v>
      </c>
      <c r="D115" s="7">
        <v>-11.6</v>
      </c>
      <c r="E115" s="7">
        <f>+0.8</f>
        <v>0.8</v>
      </c>
    </row>
    <row r="116">
      <c r="A116" s="8" t="s">
        <v>147</v>
      </c>
      <c r="B116" s="5" t="s">
        <v>139</v>
      </c>
      <c r="C116" s="9">
        <v>0.25</v>
      </c>
      <c r="D116" s="7">
        <v>-7.3</v>
      </c>
      <c r="E116" s="7">
        <v>-3.7</v>
      </c>
    </row>
    <row r="117">
      <c r="A117" s="8" t="s">
        <v>160</v>
      </c>
      <c r="B117" s="5" t="s">
        <v>139</v>
      </c>
      <c r="C117" s="9">
        <v>0.25</v>
      </c>
      <c r="D117" s="7">
        <v>-5.7</v>
      </c>
      <c r="E117" s="7">
        <f>+2.9</f>
        <v>2.9</v>
      </c>
    </row>
    <row r="118">
      <c r="A118" s="8" t="s">
        <v>135</v>
      </c>
      <c r="B118" s="5" t="s">
        <v>139</v>
      </c>
      <c r="C118" s="9">
        <v>0.25</v>
      </c>
      <c r="D118" s="7">
        <v>-10.4</v>
      </c>
      <c r="E118" s="7">
        <v>-2.9</v>
      </c>
    </row>
    <row r="119">
      <c r="A119" s="8" t="s">
        <v>107</v>
      </c>
      <c r="B119" s="5" t="s">
        <v>386</v>
      </c>
      <c r="C119" s="9">
        <v>0.182</v>
      </c>
      <c r="D119" s="7">
        <v>-12.6</v>
      </c>
      <c r="E119" s="7">
        <v>-2.3</v>
      </c>
    </row>
    <row r="120">
      <c r="A120" s="8" t="s">
        <v>118</v>
      </c>
      <c r="B120" s="5" t="s">
        <v>149</v>
      </c>
      <c r="C120" s="9">
        <v>0.167</v>
      </c>
      <c r="D120" s="7">
        <v>-25.8</v>
      </c>
      <c r="E120" s="7">
        <v>-5.9</v>
      </c>
    </row>
    <row r="121">
      <c r="A121" s="8" t="s">
        <v>87</v>
      </c>
      <c r="B121" s="5" t="s">
        <v>149</v>
      </c>
      <c r="C121" s="9">
        <v>0.167</v>
      </c>
      <c r="D121" s="7">
        <v>-9.5</v>
      </c>
      <c r="E121" s="7">
        <f>+1.2</f>
        <v>1.2</v>
      </c>
    </row>
    <row r="122">
      <c r="A122" s="8" t="s">
        <v>122</v>
      </c>
      <c r="B122" s="5" t="s">
        <v>149</v>
      </c>
      <c r="C122" s="9">
        <v>0.167</v>
      </c>
      <c r="D122" s="7">
        <v>-14.6</v>
      </c>
      <c r="E122" s="7">
        <v>-4.7</v>
      </c>
    </row>
    <row r="123">
      <c r="A123" s="8" t="s">
        <v>57</v>
      </c>
      <c r="B123" s="5" t="s">
        <v>149</v>
      </c>
      <c r="C123" s="9">
        <v>0.167</v>
      </c>
      <c r="D123" s="7">
        <v>-15.7</v>
      </c>
      <c r="E123" s="7">
        <v>-5.4</v>
      </c>
    </row>
    <row r="124">
      <c r="A124" s="8" t="s">
        <v>142</v>
      </c>
      <c r="B124" s="5" t="s">
        <v>149</v>
      </c>
      <c r="C124" s="9">
        <v>0.167</v>
      </c>
      <c r="D124" s="7">
        <v>-10.5</v>
      </c>
      <c r="E124" s="7">
        <v>-2.1</v>
      </c>
    </row>
    <row r="125">
      <c r="A125" s="8" t="s">
        <v>128</v>
      </c>
      <c r="B125" s="5" t="s">
        <v>149</v>
      </c>
      <c r="C125" s="9">
        <v>0.167</v>
      </c>
      <c r="D125" s="7">
        <v>-14.6</v>
      </c>
      <c r="E125" s="7">
        <v>-1.9</v>
      </c>
    </row>
    <row r="126">
      <c r="A126" s="8" t="s">
        <v>43</v>
      </c>
      <c r="B126" s="5" t="s">
        <v>149</v>
      </c>
      <c r="C126" s="9">
        <v>0.167</v>
      </c>
      <c r="D126" s="7">
        <v>-14.3</v>
      </c>
      <c r="E126" s="7">
        <v>-8.0</v>
      </c>
    </row>
    <row r="127">
      <c r="A127" s="8" t="s">
        <v>30</v>
      </c>
      <c r="B127" s="5" t="s">
        <v>396</v>
      </c>
      <c r="C127" s="9">
        <v>0.154</v>
      </c>
      <c r="D127" s="7">
        <v>-16.5</v>
      </c>
      <c r="E127" s="7">
        <v>-6.8</v>
      </c>
    </row>
    <row r="128">
      <c r="A128" s="8" t="s">
        <v>51</v>
      </c>
      <c r="B128" s="5" t="s">
        <v>157</v>
      </c>
      <c r="C128" s="9">
        <v>0.083</v>
      </c>
      <c r="D128" s="7">
        <v>-30.3</v>
      </c>
      <c r="E128" s="7">
        <v>-8.6</v>
      </c>
    </row>
    <row r="129">
      <c r="A129" s="8" t="s">
        <v>158</v>
      </c>
      <c r="B129" s="5" t="s">
        <v>157</v>
      </c>
      <c r="C129" s="9">
        <v>0.083</v>
      </c>
      <c r="D129" s="7">
        <v>-20.7</v>
      </c>
      <c r="E129" s="7">
        <v>-6.3</v>
      </c>
    </row>
    <row r="130">
      <c r="A130" s="8" t="s">
        <v>97</v>
      </c>
      <c r="B130" s="5" t="s">
        <v>338</v>
      </c>
      <c r="C130" s="9">
        <v>0.0</v>
      </c>
      <c r="D130" s="7">
        <v>-62.0</v>
      </c>
      <c r="E130" s="7">
        <v>-42.0</v>
      </c>
    </row>
    <row r="131">
      <c r="A131" s="8" t="s">
        <v>11</v>
      </c>
      <c r="B131" s="5" t="s">
        <v>338</v>
      </c>
      <c r="C131" s="9">
        <v>0.0</v>
      </c>
      <c r="D131" s="7">
        <v>-45.0</v>
      </c>
      <c r="E131" s="7">
        <v>-23.5</v>
      </c>
    </row>
    <row r="132">
      <c r="A132" s="8" t="s">
        <v>155</v>
      </c>
      <c r="B132" s="5" t="s">
        <v>338</v>
      </c>
      <c r="C132" s="9">
        <v>0.0</v>
      </c>
      <c r="D132" s="7">
        <v>-56.0</v>
      </c>
      <c r="E132" s="7">
        <v>-24.0</v>
      </c>
    </row>
    <row r="133">
      <c r="A133" s="8" t="s">
        <v>71</v>
      </c>
      <c r="B133" s="5" t="s">
        <v>338</v>
      </c>
      <c r="C133" s="9">
        <v>0.0</v>
      </c>
      <c r="D133" s="7">
        <v>-38.0</v>
      </c>
      <c r="E133" s="7">
        <v>-4.0</v>
      </c>
    </row>
    <row r="134">
      <c r="A134" s="8" t="s">
        <v>84</v>
      </c>
      <c r="B134" s="5" t="s">
        <v>338</v>
      </c>
      <c r="C134" s="9">
        <v>0.0</v>
      </c>
      <c r="D134" s="7">
        <v>-17.0</v>
      </c>
      <c r="E134" s="7">
        <f>+16.5</f>
        <v>16.5</v>
      </c>
    </row>
    <row r="135">
      <c r="A135" s="8" t="s">
        <v>84</v>
      </c>
      <c r="B135" s="5" t="s">
        <v>338</v>
      </c>
      <c r="C135" s="9">
        <v>0.0</v>
      </c>
      <c r="D135" s="7">
        <v>-29.0</v>
      </c>
      <c r="E135" s="7">
        <f>+7</f>
        <v>7</v>
      </c>
    </row>
    <row r="136">
      <c r="A136" s="8" t="s">
        <v>32</v>
      </c>
      <c r="B136" s="5" t="s">
        <v>338</v>
      </c>
      <c r="C136" s="9">
        <v>0.0</v>
      </c>
      <c r="D136" s="7">
        <v>-3.0</v>
      </c>
      <c r="E136" s="4">
        <f>+1.5</f>
        <v>1.5</v>
      </c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</hyperlinks>
  <drawing r:id="rId13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114</v>
      </c>
      <c r="B2" s="5" t="s">
        <v>406</v>
      </c>
      <c r="C2" s="9">
        <v>1.0</v>
      </c>
      <c r="D2" s="7">
        <v>39.5</v>
      </c>
      <c r="E2" s="4">
        <f>+12.1</f>
        <v>12.1</v>
      </c>
    </row>
    <row r="3">
      <c r="A3" s="8" t="s">
        <v>99</v>
      </c>
      <c r="B3" s="5" t="s">
        <v>344</v>
      </c>
      <c r="C3" s="9">
        <v>1.0</v>
      </c>
      <c r="D3" s="7">
        <v>6.0</v>
      </c>
      <c r="E3" s="7">
        <f>+34.5</f>
        <v>34.5</v>
      </c>
    </row>
    <row r="4">
      <c r="A4" s="8" t="s">
        <v>71</v>
      </c>
      <c r="B4" s="5" t="s">
        <v>344</v>
      </c>
      <c r="C4" s="9">
        <v>1.0</v>
      </c>
      <c r="D4" s="7">
        <v>6.0</v>
      </c>
      <c r="E4" s="7">
        <v>-3.5</v>
      </c>
    </row>
    <row r="5">
      <c r="A5" s="8" t="s">
        <v>126</v>
      </c>
      <c r="B5" s="5" t="s">
        <v>162</v>
      </c>
      <c r="C5" s="9">
        <v>0.929</v>
      </c>
      <c r="D5" s="7">
        <v>16.1</v>
      </c>
      <c r="E5" s="7">
        <f>+6.4</f>
        <v>6.4</v>
      </c>
    </row>
    <row r="6">
      <c r="A6" s="8" t="s">
        <v>106</v>
      </c>
      <c r="B6" s="5" t="s">
        <v>8</v>
      </c>
      <c r="C6" s="9">
        <v>0.923</v>
      </c>
      <c r="D6" s="7">
        <v>13.3</v>
      </c>
      <c r="E6" s="7">
        <f>+3.3</f>
        <v>3.3</v>
      </c>
    </row>
    <row r="7">
      <c r="A7" s="8" t="s">
        <v>62</v>
      </c>
      <c r="B7" s="5" t="s">
        <v>8</v>
      </c>
      <c r="C7" s="9">
        <v>0.923</v>
      </c>
      <c r="D7" s="7">
        <v>23.0</v>
      </c>
      <c r="E7" s="7">
        <f>+1.8</f>
        <v>1.8</v>
      </c>
    </row>
    <row r="8">
      <c r="A8" s="8" t="s">
        <v>138</v>
      </c>
      <c r="B8" s="5" t="s">
        <v>170</v>
      </c>
      <c r="C8" s="9">
        <v>0.857</v>
      </c>
      <c r="D8" s="7">
        <v>14.6</v>
      </c>
      <c r="E8" s="4">
        <f>+0.5</f>
        <v>0.5</v>
      </c>
    </row>
    <row r="9">
      <c r="A9" s="8" t="s">
        <v>110</v>
      </c>
      <c r="B9" s="5" t="s">
        <v>170</v>
      </c>
      <c r="C9" s="9">
        <v>0.857</v>
      </c>
      <c r="D9" s="7">
        <v>14.8</v>
      </c>
      <c r="E9" s="4">
        <f>+10.6</f>
        <v>10.6</v>
      </c>
    </row>
    <row r="10">
      <c r="A10" s="8" t="s">
        <v>9</v>
      </c>
      <c r="B10" s="5" t="s">
        <v>170</v>
      </c>
      <c r="C10" s="9">
        <v>0.857</v>
      </c>
      <c r="D10" s="7">
        <v>22.9</v>
      </c>
      <c r="E10" s="7">
        <f>+1.6</f>
        <v>1.6</v>
      </c>
    </row>
    <row r="11">
      <c r="A11" s="8" t="s">
        <v>58</v>
      </c>
      <c r="B11" s="5" t="s">
        <v>170</v>
      </c>
      <c r="C11" s="9">
        <v>0.857</v>
      </c>
      <c r="D11" s="7">
        <v>16.1</v>
      </c>
      <c r="E11" s="7">
        <f>+8.7</f>
        <v>8.7</v>
      </c>
    </row>
    <row r="12">
      <c r="A12" s="8" t="s">
        <v>53</v>
      </c>
      <c r="B12" s="5" t="s">
        <v>17</v>
      </c>
      <c r="C12" s="9">
        <v>0.846</v>
      </c>
      <c r="D12" s="7">
        <v>13.1</v>
      </c>
      <c r="E12" s="7">
        <f>+0.7</f>
        <v>0.7</v>
      </c>
    </row>
    <row r="13">
      <c r="A13" s="8" t="s">
        <v>123</v>
      </c>
      <c r="B13" s="5" t="s">
        <v>17</v>
      </c>
      <c r="C13" s="9">
        <v>0.846</v>
      </c>
      <c r="D13" s="7">
        <v>13.8</v>
      </c>
      <c r="E13" s="7">
        <f>+4.6</f>
        <v>4.6</v>
      </c>
    </row>
    <row r="14">
      <c r="A14" s="8" t="s">
        <v>28</v>
      </c>
      <c r="B14" s="5" t="s">
        <v>17</v>
      </c>
      <c r="C14" s="9">
        <v>0.846</v>
      </c>
      <c r="D14" s="7">
        <v>24.2</v>
      </c>
      <c r="E14" s="7">
        <v>-1.3</v>
      </c>
    </row>
    <row r="15">
      <c r="A15" s="8" t="s">
        <v>23</v>
      </c>
      <c r="B15" s="5" t="s">
        <v>17</v>
      </c>
      <c r="C15" s="9">
        <v>0.846</v>
      </c>
      <c r="D15" s="7">
        <v>10.8</v>
      </c>
      <c r="E15" s="4">
        <f>+3.5</f>
        <v>3.5</v>
      </c>
    </row>
    <row r="16">
      <c r="A16" s="8" t="s">
        <v>113</v>
      </c>
      <c r="B16" s="5" t="s">
        <v>17</v>
      </c>
      <c r="C16" s="9">
        <v>0.846</v>
      </c>
      <c r="D16" s="7">
        <v>28.8</v>
      </c>
      <c r="E16" s="7">
        <f>+5.7</f>
        <v>5.7</v>
      </c>
    </row>
    <row r="17">
      <c r="A17" s="8" t="s">
        <v>15</v>
      </c>
      <c r="B17" s="5" t="s">
        <v>17</v>
      </c>
      <c r="C17" s="9">
        <v>0.846</v>
      </c>
      <c r="D17" s="7">
        <v>25.0</v>
      </c>
      <c r="E17" s="7">
        <v>-2.8</v>
      </c>
    </row>
    <row r="18">
      <c r="A18" s="8" t="s">
        <v>81</v>
      </c>
      <c r="B18" s="5" t="s">
        <v>21</v>
      </c>
      <c r="C18" s="9">
        <v>0.833</v>
      </c>
      <c r="D18" s="7">
        <v>15.7</v>
      </c>
      <c r="E18" s="7">
        <f>+2.2</f>
        <v>2.2</v>
      </c>
    </row>
    <row r="19">
      <c r="A19" s="8" t="s">
        <v>131</v>
      </c>
      <c r="B19" s="5" t="s">
        <v>182</v>
      </c>
      <c r="C19" s="9">
        <v>0.786</v>
      </c>
      <c r="D19" s="7">
        <v>13.3</v>
      </c>
      <c r="E19" s="7">
        <f>+3.4</f>
        <v>3.4</v>
      </c>
    </row>
    <row r="20">
      <c r="A20" s="8" t="s">
        <v>120</v>
      </c>
      <c r="B20" s="5" t="s">
        <v>29</v>
      </c>
      <c r="C20" s="9">
        <v>0.769</v>
      </c>
      <c r="D20" s="7">
        <v>13.8</v>
      </c>
      <c r="E20" s="7">
        <f>+3.8</f>
        <v>3.8</v>
      </c>
    </row>
    <row r="21">
      <c r="A21" s="8" t="s">
        <v>75</v>
      </c>
      <c r="B21" s="5" t="s">
        <v>29</v>
      </c>
      <c r="C21" s="9">
        <v>0.769</v>
      </c>
      <c r="D21" s="7">
        <v>13.8</v>
      </c>
      <c r="E21" s="7">
        <v>-0.5</v>
      </c>
    </row>
    <row r="22">
      <c r="A22" s="8" t="s">
        <v>156</v>
      </c>
      <c r="B22" s="5" t="s">
        <v>29</v>
      </c>
      <c r="C22" s="9">
        <v>0.769</v>
      </c>
      <c r="D22" s="7">
        <v>17.5</v>
      </c>
      <c r="E22" s="4">
        <f>+3.5</f>
        <v>3.5</v>
      </c>
    </row>
    <row r="23">
      <c r="A23" s="8" t="s">
        <v>59</v>
      </c>
      <c r="B23" s="5" t="s">
        <v>29</v>
      </c>
      <c r="C23" s="9">
        <v>0.769</v>
      </c>
      <c r="D23" s="7">
        <v>15.4</v>
      </c>
      <c r="E23" s="4">
        <f>+4.3</f>
        <v>4.3</v>
      </c>
    </row>
    <row r="24">
      <c r="A24" s="8" t="s">
        <v>145</v>
      </c>
      <c r="B24" s="5" t="s">
        <v>29</v>
      </c>
      <c r="C24" s="9">
        <v>0.769</v>
      </c>
      <c r="D24" s="7">
        <v>13.8</v>
      </c>
      <c r="E24" s="7">
        <f>+6.3</f>
        <v>6.3</v>
      </c>
    </row>
    <row r="25">
      <c r="A25" s="8" t="s">
        <v>121</v>
      </c>
      <c r="B25" s="5" t="s">
        <v>203</v>
      </c>
      <c r="C25" s="9">
        <v>0.714</v>
      </c>
      <c r="D25" s="7">
        <v>18.9</v>
      </c>
      <c r="E25" s="7">
        <f>+9.6</f>
        <v>9.6</v>
      </c>
    </row>
    <row r="26">
      <c r="A26" s="8" t="s">
        <v>105</v>
      </c>
      <c r="B26" s="5" t="s">
        <v>203</v>
      </c>
      <c r="C26" s="9">
        <v>0.714</v>
      </c>
      <c r="D26" s="7">
        <v>19.2</v>
      </c>
      <c r="E26" s="7">
        <f>+4.1</f>
        <v>4.1</v>
      </c>
    </row>
    <row r="27">
      <c r="A27" s="8" t="s">
        <v>108</v>
      </c>
      <c r="B27" s="5" t="s">
        <v>203</v>
      </c>
      <c r="C27" s="9">
        <v>0.714</v>
      </c>
      <c r="D27" s="7">
        <v>5.2</v>
      </c>
      <c r="E27" s="7">
        <f>+1.7</f>
        <v>1.7</v>
      </c>
    </row>
    <row r="28">
      <c r="A28" s="8" t="s">
        <v>64</v>
      </c>
      <c r="B28" s="5" t="s">
        <v>203</v>
      </c>
      <c r="C28" s="9">
        <v>0.714</v>
      </c>
      <c r="D28" s="7">
        <v>13.1</v>
      </c>
      <c r="E28" s="7">
        <f>+2.7</f>
        <v>2.7</v>
      </c>
    </row>
    <row r="29">
      <c r="A29" s="8" t="s">
        <v>41</v>
      </c>
      <c r="B29" s="5" t="s">
        <v>203</v>
      </c>
      <c r="C29" s="9">
        <v>0.714</v>
      </c>
      <c r="D29" s="7">
        <v>8.5</v>
      </c>
      <c r="E29" s="7">
        <f>+1.1</f>
        <v>1.1</v>
      </c>
    </row>
    <row r="30">
      <c r="A30" s="8" t="s">
        <v>70</v>
      </c>
      <c r="B30" s="5" t="s">
        <v>203</v>
      </c>
      <c r="C30" s="9">
        <v>0.714</v>
      </c>
      <c r="D30" s="7">
        <v>6.1</v>
      </c>
      <c r="E30" s="7">
        <f>+6.8</f>
        <v>6.8</v>
      </c>
    </row>
    <row r="31">
      <c r="A31" s="8" t="s">
        <v>26</v>
      </c>
      <c r="B31" s="5" t="s">
        <v>46</v>
      </c>
      <c r="C31" s="9">
        <v>0.692</v>
      </c>
      <c r="D31" s="7">
        <v>9.2</v>
      </c>
      <c r="E31" s="7">
        <f>+6.9</f>
        <v>6.9</v>
      </c>
    </row>
    <row r="32">
      <c r="A32" s="8" t="s">
        <v>20</v>
      </c>
      <c r="B32" s="5" t="s">
        <v>46</v>
      </c>
      <c r="C32" s="9">
        <v>0.692</v>
      </c>
      <c r="D32" s="7">
        <v>4.8</v>
      </c>
      <c r="E32" s="7">
        <v>-0.7</v>
      </c>
    </row>
    <row r="33">
      <c r="A33" s="8" t="s">
        <v>22</v>
      </c>
      <c r="B33" s="5" t="s">
        <v>46</v>
      </c>
      <c r="C33" s="9">
        <v>0.692</v>
      </c>
      <c r="D33" s="7">
        <v>5.5</v>
      </c>
      <c r="E33" s="7">
        <v>0.0</v>
      </c>
    </row>
    <row r="34">
      <c r="A34" s="8" t="s">
        <v>125</v>
      </c>
      <c r="B34" s="5" t="s">
        <v>46</v>
      </c>
      <c r="C34" s="9">
        <v>0.692</v>
      </c>
      <c r="D34" s="7">
        <v>18.5</v>
      </c>
      <c r="E34" s="7">
        <f>+2.3</f>
        <v>2.3</v>
      </c>
    </row>
    <row r="35">
      <c r="A35" s="8" t="s">
        <v>77</v>
      </c>
      <c r="B35" s="5" t="s">
        <v>46</v>
      </c>
      <c r="C35" s="9">
        <v>0.692</v>
      </c>
      <c r="D35" s="7">
        <v>7.1</v>
      </c>
      <c r="E35" s="7">
        <v>-0.3</v>
      </c>
    </row>
    <row r="36">
      <c r="A36" s="8" t="s">
        <v>14</v>
      </c>
      <c r="B36" s="5" t="s">
        <v>46</v>
      </c>
      <c r="C36" s="9">
        <v>0.692</v>
      </c>
      <c r="D36" s="7">
        <v>12.0</v>
      </c>
      <c r="E36" s="7">
        <v>-3.6</v>
      </c>
    </row>
    <row r="37">
      <c r="A37" s="8" t="s">
        <v>78</v>
      </c>
      <c r="B37" s="5" t="s">
        <v>46</v>
      </c>
      <c r="C37" s="9">
        <v>0.692</v>
      </c>
      <c r="D37" s="7">
        <v>11.1</v>
      </c>
      <c r="E37" s="7">
        <f>+1.9</f>
        <v>1.9</v>
      </c>
    </row>
    <row r="38">
      <c r="A38" s="8" t="s">
        <v>93</v>
      </c>
      <c r="B38" s="5" t="s">
        <v>46</v>
      </c>
      <c r="C38" s="9">
        <v>0.692</v>
      </c>
      <c r="D38" s="7">
        <v>7.3</v>
      </c>
      <c r="E38" s="7">
        <f>+0.2</f>
        <v>0.2</v>
      </c>
    </row>
    <row r="39">
      <c r="A39" s="8" t="s">
        <v>18</v>
      </c>
      <c r="B39" s="5" t="s">
        <v>46</v>
      </c>
      <c r="C39" s="9">
        <v>0.692</v>
      </c>
      <c r="D39" s="7">
        <v>14.1</v>
      </c>
      <c r="E39" s="7">
        <f>+10.2</f>
        <v>10.2</v>
      </c>
    </row>
    <row r="40">
      <c r="A40" s="8" t="s">
        <v>63</v>
      </c>
      <c r="B40" s="5" t="s">
        <v>46</v>
      </c>
      <c r="C40" s="9">
        <v>0.692</v>
      </c>
      <c r="D40" s="7">
        <v>15.1</v>
      </c>
      <c r="E40" s="7">
        <f>+5.6</f>
        <v>5.6</v>
      </c>
    </row>
    <row r="41">
      <c r="A41" s="8" t="s">
        <v>25</v>
      </c>
      <c r="B41" s="5" t="s">
        <v>46</v>
      </c>
      <c r="C41" s="9">
        <v>0.692</v>
      </c>
      <c r="D41" s="7">
        <v>7.1</v>
      </c>
      <c r="E41" s="7">
        <v>-4.5</v>
      </c>
    </row>
    <row r="42">
      <c r="A42" s="8" t="s">
        <v>67</v>
      </c>
      <c r="B42" s="5" t="s">
        <v>49</v>
      </c>
      <c r="C42" s="9">
        <v>0.667</v>
      </c>
      <c r="D42" s="7">
        <v>6.3</v>
      </c>
      <c r="E42" s="7">
        <v>0.0</v>
      </c>
    </row>
    <row r="43">
      <c r="A43" s="8" t="s">
        <v>94</v>
      </c>
      <c r="B43" s="5" t="s">
        <v>224</v>
      </c>
      <c r="C43" s="9">
        <v>0.643</v>
      </c>
      <c r="D43" s="7">
        <v>14.7</v>
      </c>
      <c r="E43" s="7">
        <f>+4.8</f>
        <v>4.8</v>
      </c>
    </row>
    <row r="44">
      <c r="A44" s="8" t="s">
        <v>104</v>
      </c>
      <c r="B44" s="5" t="s">
        <v>69</v>
      </c>
      <c r="C44" s="9">
        <v>0.615</v>
      </c>
      <c r="D44" s="7">
        <v>5.9</v>
      </c>
      <c r="E44" s="7">
        <f>+4.9</f>
        <v>4.9</v>
      </c>
    </row>
    <row r="45">
      <c r="A45" s="8" t="s">
        <v>47</v>
      </c>
      <c r="B45" s="5" t="s">
        <v>69</v>
      </c>
      <c r="C45" s="9">
        <v>0.615</v>
      </c>
      <c r="D45" s="7">
        <v>12.7</v>
      </c>
      <c r="E45" s="7">
        <v>-0.4</v>
      </c>
    </row>
    <row r="46">
      <c r="A46" s="8" t="s">
        <v>7</v>
      </c>
      <c r="B46" s="5" t="s">
        <v>69</v>
      </c>
      <c r="C46" s="9">
        <v>0.615</v>
      </c>
      <c r="D46" s="7">
        <v>7.7</v>
      </c>
      <c r="E46" s="7">
        <v>-3.7</v>
      </c>
    </row>
    <row r="47">
      <c r="A47" s="8" t="s">
        <v>12</v>
      </c>
      <c r="B47" s="5" t="s">
        <v>69</v>
      </c>
      <c r="C47" s="9">
        <v>0.615</v>
      </c>
      <c r="D47" s="7">
        <v>6.3</v>
      </c>
      <c r="E47" s="7">
        <v>-2.4</v>
      </c>
    </row>
    <row r="48">
      <c r="A48" s="8" t="s">
        <v>76</v>
      </c>
      <c r="B48" s="5" t="s">
        <v>69</v>
      </c>
      <c r="C48" s="9">
        <v>0.615</v>
      </c>
      <c r="D48" s="7">
        <v>3.5</v>
      </c>
      <c r="E48" s="7">
        <f>+5.1</f>
        <v>5.1</v>
      </c>
    </row>
    <row r="49">
      <c r="A49" s="8" t="s">
        <v>56</v>
      </c>
      <c r="B49" s="5" t="s">
        <v>69</v>
      </c>
      <c r="C49" s="9">
        <v>0.615</v>
      </c>
      <c r="D49" s="7">
        <v>7.4</v>
      </c>
      <c r="E49" s="7">
        <f>+4.7</f>
        <v>4.7</v>
      </c>
    </row>
    <row r="50">
      <c r="A50" s="8" t="s">
        <v>92</v>
      </c>
      <c r="B50" s="5" t="s">
        <v>69</v>
      </c>
      <c r="C50" s="9">
        <v>0.615</v>
      </c>
      <c r="D50" s="7">
        <v>10.3</v>
      </c>
      <c r="E50" s="7">
        <f>+2.9</f>
        <v>2.9</v>
      </c>
    </row>
    <row r="51">
      <c r="A51" s="8" t="s">
        <v>35</v>
      </c>
      <c r="B51" s="5" t="s">
        <v>69</v>
      </c>
      <c r="C51" s="9">
        <v>0.615</v>
      </c>
      <c r="D51" s="7">
        <v>3.5</v>
      </c>
      <c r="E51" s="7">
        <v>-0.6</v>
      </c>
    </row>
    <row r="52">
      <c r="A52" s="8" t="s">
        <v>10</v>
      </c>
      <c r="B52" s="5" t="s">
        <v>69</v>
      </c>
      <c r="C52" s="9">
        <v>0.615</v>
      </c>
      <c r="D52" s="7">
        <v>5.2</v>
      </c>
      <c r="E52" s="7">
        <f>+2</f>
        <v>2</v>
      </c>
    </row>
    <row r="53">
      <c r="A53" s="8" t="s">
        <v>36</v>
      </c>
      <c r="B53" s="5" t="s">
        <v>69</v>
      </c>
      <c r="C53" s="9">
        <v>0.615</v>
      </c>
      <c r="D53" s="7">
        <v>11.4</v>
      </c>
      <c r="E53" s="7">
        <f>+8.8</f>
        <v>8.8</v>
      </c>
    </row>
    <row r="54">
      <c r="A54" s="8" t="s">
        <v>144</v>
      </c>
      <c r="B54" s="5" t="s">
        <v>69</v>
      </c>
      <c r="C54" s="9">
        <v>0.615</v>
      </c>
      <c r="D54" s="7">
        <v>2.8</v>
      </c>
      <c r="E54" s="7">
        <v>-0.3</v>
      </c>
    </row>
    <row r="55">
      <c r="A55" s="8" t="s">
        <v>95</v>
      </c>
      <c r="B55" s="5" t="s">
        <v>69</v>
      </c>
      <c r="C55" s="9">
        <v>0.615</v>
      </c>
      <c r="D55" s="7">
        <v>3.0</v>
      </c>
      <c r="E55" s="7">
        <v>-0.2</v>
      </c>
    </row>
    <row r="56">
      <c r="A56" s="8" t="s">
        <v>19</v>
      </c>
      <c r="B56" s="5" t="s">
        <v>69</v>
      </c>
      <c r="C56" s="9">
        <v>0.615</v>
      </c>
      <c r="D56" s="7">
        <v>8.1</v>
      </c>
      <c r="E56" s="7">
        <f>+1</f>
        <v>1</v>
      </c>
    </row>
    <row r="57">
      <c r="A57" s="8" t="s">
        <v>39</v>
      </c>
      <c r="B57" s="5" t="s">
        <v>69</v>
      </c>
      <c r="C57" s="9">
        <v>0.615</v>
      </c>
      <c r="D57" s="7">
        <v>-1.9</v>
      </c>
      <c r="E57" s="7">
        <v>-2.4</v>
      </c>
    </row>
    <row r="58">
      <c r="A58" s="8" t="s">
        <v>40</v>
      </c>
      <c r="B58" s="5" t="s">
        <v>69</v>
      </c>
      <c r="C58" s="9">
        <v>0.615</v>
      </c>
      <c r="D58" s="7">
        <v>9.2</v>
      </c>
      <c r="E58" s="7">
        <f>+3.7</f>
        <v>3.7</v>
      </c>
    </row>
    <row r="59">
      <c r="A59" s="8" t="s">
        <v>146</v>
      </c>
      <c r="B59" s="5" t="s">
        <v>69</v>
      </c>
      <c r="C59" s="9">
        <v>0.615</v>
      </c>
      <c r="D59" s="7">
        <v>3.2</v>
      </c>
      <c r="E59" s="7">
        <v>-2.4</v>
      </c>
    </row>
    <row r="60">
      <c r="A60" s="8" t="s">
        <v>48</v>
      </c>
      <c r="B60" s="5" t="s">
        <v>73</v>
      </c>
      <c r="C60" s="9">
        <v>0.583</v>
      </c>
      <c r="D60" s="7">
        <v>4.4</v>
      </c>
      <c r="E60" s="7">
        <v>0.0</v>
      </c>
    </row>
    <row r="61">
      <c r="A61" s="8" t="s">
        <v>91</v>
      </c>
      <c r="B61" s="5" t="s">
        <v>73</v>
      </c>
      <c r="C61" s="9">
        <v>0.583</v>
      </c>
      <c r="D61" s="7">
        <v>2.5</v>
      </c>
      <c r="E61" s="7">
        <v>-2.0</v>
      </c>
    </row>
    <row r="62">
      <c r="A62" s="8" t="s">
        <v>101</v>
      </c>
      <c r="B62" s="5" t="s">
        <v>73</v>
      </c>
      <c r="C62" s="9">
        <v>0.583</v>
      </c>
      <c r="D62" s="7">
        <v>-0.8</v>
      </c>
      <c r="E62" s="7">
        <f>+3</f>
        <v>3</v>
      </c>
    </row>
    <row r="63">
      <c r="A63" s="8" t="s">
        <v>152</v>
      </c>
      <c r="B63" s="5" t="s">
        <v>244</v>
      </c>
      <c r="C63" s="9">
        <v>0.571</v>
      </c>
      <c r="D63" s="7">
        <v>6.4</v>
      </c>
      <c r="E63" s="7">
        <f>+7.7</f>
        <v>7.7</v>
      </c>
    </row>
    <row r="64">
      <c r="A64" s="8" t="s">
        <v>50</v>
      </c>
      <c r="B64" s="5" t="s">
        <v>88</v>
      </c>
      <c r="C64" s="9">
        <v>0.539</v>
      </c>
      <c r="D64" s="7">
        <v>-0.1</v>
      </c>
      <c r="E64" s="7">
        <v>-5.1</v>
      </c>
    </row>
    <row r="65">
      <c r="A65" s="8" t="s">
        <v>111</v>
      </c>
      <c r="B65" s="5" t="s">
        <v>88</v>
      </c>
      <c r="C65" s="9">
        <v>0.539</v>
      </c>
      <c r="D65" s="7">
        <v>4.7</v>
      </c>
      <c r="E65" s="7">
        <f>+4.4</f>
        <v>4.4</v>
      </c>
    </row>
    <row r="66">
      <c r="A66" s="8" t="s">
        <v>33</v>
      </c>
      <c r="B66" s="5" t="s">
        <v>88</v>
      </c>
      <c r="C66" s="9">
        <v>0.539</v>
      </c>
      <c r="D66" s="7">
        <v>5.4</v>
      </c>
      <c r="E66" s="7">
        <v>-1.6</v>
      </c>
    </row>
    <row r="67">
      <c r="A67" s="8" t="s">
        <v>16</v>
      </c>
      <c r="B67" s="5" t="s">
        <v>88</v>
      </c>
      <c r="C67" s="9">
        <v>0.539</v>
      </c>
      <c r="D67" s="7">
        <v>3.4</v>
      </c>
      <c r="E67" s="7">
        <f>+5.6</f>
        <v>5.6</v>
      </c>
    </row>
    <row r="68">
      <c r="A68" s="8" t="s">
        <v>30</v>
      </c>
      <c r="B68" s="5" t="s">
        <v>88</v>
      </c>
      <c r="C68" s="9">
        <v>0.539</v>
      </c>
      <c r="D68" s="7">
        <v>-1.9</v>
      </c>
      <c r="E68" s="4">
        <f>+2.9</f>
        <v>2.9</v>
      </c>
    </row>
    <row r="69">
      <c r="A69" s="8" t="s">
        <v>153</v>
      </c>
      <c r="B69" s="5" t="s">
        <v>88</v>
      </c>
      <c r="C69" s="9">
        <v>0.539</v>
      </c>
      <c r="D69" s="7">
        <v>3.4</v>
      </c>
      <c r="E69" s="7">
        <v>-0.6</v>
      </c>
    </row>
    <row r="70">
      <c r="A70" s="8" t="s">
        <v>132</v>
      </c>
      <c r="B70" s="5" t="s">
        <v>88</v>
      </c>
      <c r="C70" s="9">
        <v>0.539</v>
      </c>
      <c r="D70" s="7">
        <v>8.2</v>
      </c>
      <c r="E70" s="7">
        <f>+4.9</f>
        <v>4.9</v>
      </c>
    </row>
    <row r="71">
      <c r="A71" s="8" t="s">
        <v>133</v>
      </c>
      <c r="B71" s="5" t="s">
        <v>88</v>
      </c>
      <c r="C71" s="9">
        <v>0.539</v>
      </c>
      <c r="D71" s="7">
        <v>0.8</v>
      </c>
      <c r="E71" s="7">
        <v>-0.5</v>
      </c>
    </row>
    <row r="72">
      <c r="A72" s="8" t="s">
        <v>42</v>
      </c>
      <c r="B72" s="5" t="s">
        <v>88</v>
      </c>
      <c r="C72" s="9">
        <v>0.539</v>
      </c>
      <c r="D72" s="7">
        <v>12.2</v>
      </c>
      <c r="E72" s="7">
        <f>+3.2</f>
        <v>3.2</v>
      </c>
    </row>
    <row r="73">
      <c r="A73" s="8" t="s">
        <v>66</v>
      </c>
      <c r="B73" s="5" t="s">
        <v>88</v>
      </c>
      <c r="C73" s="9">
        <v>0.539</v>
      </c>
      <c r="D73" s="7">
        <v>-0.8</v>
      </c>
      <c r="E73" s="7">
        <v>-1.7</v>
      </c>
    </row>
    <row r="74">
      <c r="A74" s="8" t="s">
        <v>154</v>
      </c>
      <c r="B74" s="5" t="s">
        <v>88</v>
      </c>
      <c r="C74" s="9">
        <v>0.539</v>
      </c>
      <c r="D74" s="7">
        <v>-1.2</v>
      </c>
      <c r="E74" s="7">
        <v>-0.3</v>
      </c>
    </row>
    <row r="75">
      <c r="A75" s="8" t="s">
        <v>147</v>
      </c>
      <c r="B75" s="5" t="s">
        <v>88</v>
      </c>
      <c r="C75" s="9">
        <v>0.539</v>
      </c>
      <c r="D75" s="7">
        <v>-2.7</v>
      </c>
      <c r="E75" s="7">
        <f>+1.4</f>
        <v>1.4</v>
      </c>
    </row>
    <row r="76">
      <c r="A76" s="8" t="s">
        <v>72</v>
      </c>
      <c r="B76" s="5" t="s">
        <v>90</v>
      </c>
      <c r="C76" s="9">
        <v>0.5</v>
      </c>
      <c r="D76" s="7">
        <v>-5.3</v>
      </c>
      <c r="E76" s="7">
        <f>+2.3</f>
        <v>2.3</v>
      </c>
    </row>
    <row r="77">
      <c r="A77" s="8" t="s">
        <v>141</v>
      </c>
      <c r="B77" s="5" t="s">
        <v>90</v>
      </c>
      <c r="C77" s="9">
        <v>0.5</v>
      </c>
      <c r="D77" s="7">
        <v>-2.7</v>
      </c>
      <c r="E77" s="7">
        <v>-2.6</v>
      </c>
    </row>
    <row r="78">
      <c r="A78" s="8" t="s">
        <v>143</v>
      </c>
      <c r="B78" s="5" t="s">
        <v>90</v>
      </c>
      <c r="C78" s="9">
        <v>0.5</v>
      </c>
      <c r="D78" s="7">
        <v>-7.9</v>
      </c>
      <c r="E78" s="7">
        <v>-6.8</v>
      </c>
    </row>
    <row r="79">
      <c r="A79" s="8" t="s">
        <v>68</v>
      </c>
      <c r="B79" s="5" t="s">
        <v>90</v>
      </c>
      <c r="C79" s="9">
        <v>0.5</v>
      </c>
      <c r="D79" s="7">
        <v>-1.8</v>
      </c>
      <c r="E79" s="7">
        <v>-1.9</v>
      </c>
    </row>
    <row r="80">
      <c r="A80" s="8" t="s">
        <v>98</v>
      </c>
      <c r="B80" s="5" t="s">
        <v>90</v>
      </c>
      <c r="C80" s="9">
        <v>0.5</v>
      </c>
      <c r="D80" s="7">
        <v>-3.4</v>
      </c>
      <c r="E80" s="7">
        <v>-2.0</v>
      </c>
    </row>
    <row r="81">
      <c r="A81" s="8" t="s">
        <v>135</v>
      </c>
      <c r="B81" s="5" t="s">
        <v>90</v>
      </c>
      <c r="C81" s="9">
        <v>0.5</v>
      </c>
      <c r="D81" s="7">
        <v>4.2</v>
      </c>
      <c r="E81" s="7">
        <f>+8</f>
        <v>8</v>
      </c>
    </row>
    <row r="82">
      <c r="A82" s="8" t="s">
        <v>137</v>
      </c>
      <c r="B82" s="5" t="s">
        <v>90</v>
      </c>
      <c r="C82" s="9">
        <v>0.5</v>
      </c>
      <c r="D82" s="7">
        <v>4.3</v>
      </c>
      <c r="E82" s="7">
        <f>+3.8</f>
        <v>3.8</v>
      </c>
    </row>
    <row r="83">
      <c r="A83" s="8" t="s">
        <v>96</v>
      </c>
      <c r="B83" s="5" t="s">
        <v>261</v>
      </c>
      <c r="C83" s="9">
        <v>0.462</v>
      </c>
      <c r="D83" s="7">
        <v>-1.5</v>
      </c>
      <c r="E83" s="7">
        <f>+2.9</f>
        <v>2.9</v>
      </c>
    </row>
    <row r="84">
      <c r="A84" s="8" t="s">
        <v>116</v>
      </c>
      <c r="B84" s="5" t="s">
        <v>261</v>
      </c>
      <c r="C84" s="9">
        <v>0.462</v>
      </c>
      <c r="D84" s="7">
        <v>-3.2</v>
      </c>
      <c r="E84" s="7">
        <v>-5.7</v>
      </c>
    </row>
    <row r="85">
      <c r="A85" s="8" t="s">
        <v>102</v>
      </c>
      <c r="B85" s="5" t="s">
        <v>103</v>
      </c>
      <c r="C85" s="9">
        <v>0.417</v>
      </c>
      <c r="D85" s="7">
        <v>-8.4</v>
      </c>
      <c r="E85" s="7">
        <f>+0.9</f>
        <v>0.9</v>
      </c>
    </row>
    <row r="86">
      <c r="A86" s="8" t="s">
        <v>51</v>
      </c>
      <c r="B86" s="5" t="s">
        <v>103</v>
      </c>
      <c r="C86" s="9">
        <v>0.417</v>
      </c>
      <c r="D86" s="7">
        <v>-6.6</v>
      </c>
      <c r="E86" s="7">
        <v>-3.2</v>
      </c>
    </row>
    <row r="87">
      <c r="A87" s="8" t="s">
        <v>54</v>
      </c>
      <c r="B87" s="5" t="s">
        <v>103</v>
      </c>
      <c r="C87" s="9">
        <v>0.417</v>
      </c>
      <c r="D87" s="7">
        <v>-5.2</v>
      </c>
      <c r="E87" s="7">
        <v>-3.0</v>
      </c>
    </row>
    <row r="88">
      <c r="A88" s="8" t="s">
        <v>5</v>
      </c>
      <c r="B88" s="5" t="s">
        <v>103</v>
      </c>
      <c r="C88" s="9">
        <v>0.417</v>
      </c>
      <c r="D88" s="7">
        <v>-0.4</v>
      </c>
      <c r="E88" s="7">
        <f>+0.3</f>
        <v>0.3</v>
      </c>
    </row>
    <row r="89">
      <c r="A89" s="8" t="s">
        <v>89</v>
      </c>
      <c r="B89" s="5" t="s">
        <v>103</v>
      </c>
      <c r="C89" s="9">
        <v>0.417</v>
      </c>
      <c r="D89" s="7">
        <v>-0.9</v>
      </c>
      <c r="E89" s="7">
        <v>-6.5</v>
      </c>
    </row>
    <row r="90">
      <c r="A90" s="8" t="s">
        <v>24</v>
      </c>
      <c r="B90" s="5" t="s">
        <v>103</v>
      </c>
      <c r="C90" s="9">
        <v>0.417</v>
      </c>
      <c r="D90" s="7">
        <v>1.2</v>
      </c>
      <c r="E90" s="7">
        <f>+3.1</f>
        <v>3.1</v>
      </c>
    </row>
    <row r="91">
      <c r="A91" s="8" t="s">
        <v>130</v>
      </c>
      <c r="B91" s="5" t="s">
        <v>103</v>
      </c>
      <c r="C91" s="9">
        <v>0.417</v>
      </c>
      <c r="D91" s="7">
        <v>-5.4</v>
      </c>
      <c r="E91" s="7">
        <v>-5.0</v>
      </c>
    </row>
    <row r="92">
      <c r="A92" s="8" t="s">
        <v>107</v>
      </c>
      <c r="B92" s="5" t="s">
        <v>119</v>
      </c>
      <c r="C92" s="9">
        <v>0.333</v>
      </c>
      <c r="D92" s="7">
        <v>-6.2</v>
      </c>
      <c r="E92" s="7">
        <v>-0.8</v>
      </c>
    </row>
    <row r="93">
      <c r="A93" s="8" t="s">
        <v>140</v>
      </c>
      <c r="B93" s="5" t="s">
        <v>119</v>
      </c>
      <c r="C93" s="9">
        <v>0.333</v>
      </c>
      <c r="D93" s="7">
        <v>-7.5</v>
      </c>
      <c r="E93" s="7">
        <f>+0.3</f>
        <v>0.3</v>
      </c>
    </row>
    <row r="94">
      <c r="A94" s="8" t="s">
        <v>74</v>
      </c>
      <c r="B94" s="5" t="s">
        <v>119</v>
      </c>
      <c r="C94" s="9">
        <v>0.333</v>
      </c>
      <c r="D94" s="7">
        <v>-7.1</v>
      </c>
      <c r="E94" s="7">
        <v>-7.3</v>
      </c>
    </row>
    <row r="95">
      <c r="A95" s="8" t="s">
        <v>124</v>
      </c>
      <c r="B95" s="5" t="s">
        <v>119</v>
      </c>
      <c r="C95" s="9">
        <v>0.333</v>
      </c>
      <c r="D95" s="7">
        <v>-2.3</v>
      </c>
      <c r="E95" s="7">
        <v>-6.7</v>
      </c>
    </row>
    <row r="96">
      <c r="A96" s="8" t="s">
        <v>55</v>
      </c>
      <c r="B96" s="5" t="s">
        <v>119</v>
      </c>
      <c r="C96" s="9">
        <v>0.333</v>
      </c>
      <c r="D96" s="7">
        <v>-5.8</v>
      </c>
      <c r="E96" s="7">
        <v>-1.0</v>
      </c>
    </row>
    <row r="97">
      <c r="A97" s="8" t="s">
        <v>142</v>
      </c>
      <c r="B97" s="5" t="s">
        <v>119</v>
      </c>
      <c r="C97" s="9">
        <v>0.333</v>
      </c>
      <c r="D97" s="7">
        <v>-12.8</v>
      </c>
      <c r="E97" s="7">
        <v>-0.5</v>
      </c>
    </row>
    <row r="98">
      <c r="A98" s="8" t="s">
        <v>60</v>
      </c>
      <c r="B98" s="5" t="s">
        <v>119</v>
      </c>
      <c r="C98" s="9">
        <v>0.333</v>
      </c>
      <c r="D98" s="7">
        <v>-0.2</v>
      </c>
      <c r="E98" s="7">
        <v>-5.2</v>
      </c>
    </row>
    <row r="99">
      <c r="A99" s="8" t="s">
        <v>65</v>
      </c>
      <c r="B99" s="5" t="s">
        <v>119</v>
      </c>
      <c r="C99" s="9">
        <v>0.333</v>
      </c>
      <c r="D99" s="7">
        <v>-5.8</v>
      </c>
      <c r="E99" s="7">
        <f>+1.5</f>
        <v>1.5</v>
      </c>
    </row>
    <row r="100">
      <c r="A100" s="8" t="s">
        <v>134</v>
      </c>
      <c r="B100" s="5" t="s">
        <v>119</v>
      </c>
      <c r="C100" s="9">
        <v>0.333</v>
      </c>
      <c r="D100" s="7">
        <v>-7.0</v>
      </c>
      <c r="E100" s="7">
        <v>-5.2</v>
      </c>
    </row>
    <row r="101">
      <c r="A101" s="8" t="s">
        <v>122</v>
      </c>
      <c r="B101" s="5" t="s">
        <v>139</v>
      </c>
      <c r="C101" s="9">
        <v>0.25</v>
      </c>
      <c r="D101" s="7">
        <v>-12.8</v>
      </c>
      <c r="E101" s="7">
        <v>-11.1</v>
      </c>
    </row>
    <row r="102">
      <c r="A102" s="8" t="s">
        <v>150</v>
      </c>
      <c r="B102" s="5" t="s">
        <v>139</v>
      </c>
      <c r="C102" s="9">
        <v>0.25</v>
      </c>
      <c r="D102" s="7">
        <v>-10.1</v>
      </c>
      <c r="E102" s="7">
        <v>-6.0</v>
      </c>
    </row>
    <row r="103">
      <c r="A103" s="8" t="s">
        <v>57</v>
      </c>
      <c r="B103" s="5" t="s">
        <v>139</v>
      </c>
      <c r="C103" s="9">
        <v>0.25</v>
      </c>
      <c r="D103" s="7">
        <v>-11.2</v>
      </c>
      <c r="E103" s="7">
        <v>-1.8</v>
      </c>
    </row>
    <row r="104">
      <c r="A104" s="8" t="s">
        <v>112</v>
      </c>
      <c r="B104" s="5" t="s">
        <v>139</v>
      </c>
      <c r="C104" s="9">
        <v>0.25</v>
      </c>
      <c r="D104" s="7">
        <v>-16.5</v>
      </c>
      <c r="E104" s="7">
        <v>-3.7</v>
      </c>
    </row>
    <row r="105">
      <c r="A105" s="8" t="s">
        <v>61</v>
      </c>
      <c r="B105" s="5" t="s">
        <v>139</v>
      </c>
      <c r="C105" s="9">
        <v>0.25</v>
      </c>
      <c r="D105" s="7">
        <v>-5.1</v>
      </c>
      <c r="E105" s="7">
        <v>-2.8</v>
      </c>
    </row>
    <row r="106">
      <c r="A106" s="8" t="s">
        <v>85</v>
      </c>
      <c r="B106" s="5" t="s">
        <v>139</v>
      </c>
      <c r="C106" s="9">
        <v>0.25</v>
      </c>
      <c r="D106" s="7">
        <v>-7.2</v>
      </c>
      <c r="E106" s="7">
        <v>-3.8</v>
      </c>
    </row>
    <row r="107">
      <c r="A107" s="8" t="s">
        <v>38</v>
      </c>
      <c r="B107" s="5" t="s">
        <v>139</v>
      </c>
      <c r="C107" s="9">
        <v>0.25</v>
      </c>
      <c r="D107" s="7">
        <v>-10.0</v>
      </c>
      <c r="E107" s="7">
        <v>-2.0</v>
      </c>
    </row>
    <row r="108">
      <c r="A108" s="8" t="s">
        <v>82</v>
      </c>
      <c r="B108" s="5" t="s">
        <v>139</v>
      </c>
      <c r="C108" s="9">
        <v>0.25</v>
      </c>
      <c r="D108" s="7">
        <v>-7.3</v>
      </c>
      <c r="E108" s="7">
        <v>-7.2</v>
      </c>
    </row>
    <row r="109">
      <c r="A109" s="8" t="s">
        <v>43</v>
      </c>
      <c r="B109" s="5" t="s">
        <v>139</v>
      </c>
      <c r="C109" s="9">
        <v>0.25</v>
      </c>
      <c r="D109" s="7">
        <v>-9.7</v>
      </c>
      <c r="E109" s="7">
        <v>-2.0</v>
      </c>
    </row>
    <row r="110">
      <c r="A110" s="8" t="s">
        <v>44</v>
      </c>
      <c r="B110" s="5" t="s">
        <v>407</v>
      </c>
      <c r="C110" s="9">
        <v>0.2</v>
      </c>
      <c r="D110" s="7">
        <v>-20.2</v>
      </c>
      <c r="E110" s="7">
        <v>-9.6</v>
      </c>
    </row>
    <row r="111">
      <c r="A111" s="8" t="s">
        <v>118</v>
      </c>
      <c r="B111" s="5" t="s">
        <v>149</v>
      </c>
      <c r="C111" s="9">
        <v>0.167</v>
      </c>
      <c r="D111" s="7">
        <v>-26.3</v>
      </c>
      <c r="E111" s="7">
        <v>-10.2</v>
      </c>
    </row>
    <row r="112">
      <c r="A112" s="8" t="s">
        <v>148</v>
      </c>
      <c r="B112" s="5" t="s">
        <v>149</v>
      </c>
      <c r="C112" s="9">
        <v>0.167</v>
      </c>
      <c r="D112" s="7">
        <v>-17.6</v>
      </c>
      <c r="E112" s="7">
        <v>-5.8</v>
      </c>
    </row>
    <row r="113">
      <c r="A113" s="8" t="s">
        <v>109</v>
      </c>
      <c r="B113" s="5" t="s">
        <v>149</v>
      </c>
      <c r="C113" s="9">
        <v>0.167</v>
      </c>
      <c r="D113" s="7">
        <v>-10.7</v>
      </c>
      <c r="E113" s="7">
        <v>-3.2</v>
      </c>
    </row>
    <row r="114">
      <c r="A114" s="8" t="s">
        <v>127</v>
      </c>
      <c r="B114" s="5" t="s">
        <v>149</v>
      </c>
      <c r="C114" s="9">
        <v>0.167</v>
      </c>
      <c r="D114" s="7">
        <v>-17.5</v>
      </c>
      <c r="E114" s="7">
        <v>-9.1</v>
      </c>
    </row>
    <row r="115">
      <c r="A115" s="8" t="s">
        <v>37</v>
      </c>
      <c r="B115" s="5" t="s">
        <v>149</v>
      </c>
      <c r="C115" s="9">
        <v>0.167</v>
      </c>
      <c r="D115" s="7">
        <v>-14.8</v>
      </c>
      <c r="E115" s="7">
        <v>-6.6</v>
      </c>
    </row>
    <row r="116">
      <c r="A116" s="8" t="s">
        <v>128</v>
      </c>
      <c r="B116" s="5" t="s">
        <v>149</v>
      </c>
      <c r="C116" s="9">
        <v>0.167</v>
      </c>
      <c r="D116" s="7">
        <v>-23.7</v>
      </c>
      <c r="E116" s="7">
        <v>-6.0</v>
      </c>
    </row>
    <row r="117">
      <c r="A117" s="8" t="s">
        <v>129</v>
      </c>
      <c r="B117" s="5" t="s">
        <v>149</v>
      </c>
      <c r="C117" s="9">
        <v>0.167</v>
      </c>
      <c r="D117" s="7">
        <v>-15.3</v>
      </c>
      <c r="E117" s="7">
        <v>-9.2</v>
      </c>
    </row>
    <row r="118">
      <c r="A118" s="8" t="s">
        <v>31</v>
      </c>
      <c r="B118" s="5" t="s">
        <v>149</v>
      </c>
      <c r="C118" s="9">
        <v>0.167</v>
      </c>
      <c r="D118" s="7">
        <v>-13.5</v>
      </c>
      <c r="E118" s="7">
        <v>-8.5</v>
      </c>
    </row>
    <row r="119">
      <c r="A119" s="8" t="s">
        <v>115</v>
      </c>
      <c r="B119" s="5" t="s">
        <v>149</v>
      </c>
      <c r="C119" s="9">
        <v>0.167</v>
      </c>
      <c r="D119" s="7">
        <v>-4.9</v>
      </c>
      <c r="E119" s="7">
        <f>+3.3</f>
        <v>3.3</v>
      </c>
    </row>
    <row r="120">
      <c r="A120" s="8" t="s">
        <v>45</v>
      </c>
      <c r="B120" s="5" t="s">
        <v>157</v>
      </c>
      <c r="C120" s="9">
        <v>0.083</v>
      </c>
      <c r="D120" s="7">
        <v>-18.3</v>
      </c>
      <c r="E120" s="7">
        <v>-6.7</v>
      </c>
    </row>
    <row r="121">
      <c r="A121" s="8" t="s">
        <v>52</v>
      </c>
      <c r="B121" s="5" t="s">
        <v>157</v>
      </c>
      <c r="C121" s="9">
        <v>0.083</v>
      </c>
      <c r="D121" s="7">
        <v>-11.3</v>
      </c>
      <c r="E121" s="7">
        <v>-0.4</v>
      </c>
    </row>
    <row r="122">
      <c r="A122" s="8" t="s">
        <v>151</v>
      </c>
      <c r="B122" s="5" t="s">
        <v>157</v>
      </c>
      <c r="C122" s="9">
        <v>0.083</v>
      </c>
      <c r="D122" s="7">
        <v>-23.1</v>
      </c>
      <c r="E122" s="7">
        <v>-8.8</v>
      </c>
    </row>
    <row r="123">
      <c r="A123" s="8" t="s">
        <v>79</v>
      </c>
      <c r="B123" s="5" t="s">
        <v>157</v>
      </c>
      <c r="C123" s="9">
        <v>0.083</v>
      </c>
      <c r="D123" s="7">
        <v>-24.8</v>
      </c>
      <c r="E123" s="7">
        <v>-8.4</v>
      </c>
    </row>
    <row r="124">
      <c r="A124" s="8" t="s">
        <v>80</v>
      </c>
      <c r="B124" s="5" t="s">
        <v>157</v>
      </c>
      <c r="C124" s="9">
        <v>0.083</v>
      </c>
      <c r="D124" s="7">
        <v>-22.9</v>
      </c>
      <c r="E124" s="7">
        <v>-9.5</v>
      </c>
    </row>
    <row r="125">
      <c r="A125" s="8" t="s">
        <v>160</v>
      </c>
      <c r="B125" s="5" t="s">
        <v>157</v>
      </c>
      <c r="C125" s="9">
        <v>0.083</v>
      </c>
      <c r="D125" s="7">
        <v>-21.3</v>
      </c>
      <c r="E125" s="7">
        <v>-3.0</v>
      </c>
    </row>
    <row r="126">
      <c r="A126" s="8" t="s">
        <v>83</v>
      </c>
      <c r="B126" s="5" t="s">
        <v>157</v>
      </c>
      <c r="C126" s="9">
        <v>0.083</v>
      </c>
      <c r="D126" s="7">
        <v>-27.3</v>
      </c>
      <c r="E126" s="7">
        <v>-8.1</v>
      </c>
    </row>
    <row r="127">
      <c r="A127" s="8" t="s">
        <v>87</v>
      </c>
      <c r="B127" s="5" t="s">
        <v>161</v>
      </c>
      <c r="C127" s="9">
        <v>0.0</v>
      </c>
      <c r="D127" s="7">
        <v>-25.9</v>
      </c>
      <c r="E127" s="7">
        <v>-6.5</v>
      </c>
    </row>
    <row r="128">
      <c r="A128" s="8" t="s">
        <v>117</v>
      </c>
      <c r="B128" s="5" t="s">
        <v>338</v>
      </c>
      <c r="C128" s="9">
        <v>0.0</v>
      </c>
      <c r="D128" s="7">
        <v>-39.0</v>
      </c>
      <c r="E128" s="7">
        <f>+1</f>
        <v>1</v>
      </c>
    </row>
    <row r="129">
      <c r="A129" s="8" t="s">
        <v>97</v>
      </c>
      <c r="B129" s="5" t="s">
        <v>338</v>
      </c>
      <c r="C129" s="9">
        <v>0.0</v>
      </c>
      <c r="D129" s="7">
        <v>-44.0</v>
      </c>
      <c r="E129" s="7">
        <v>-28.0</v>
      </c>
    </row>
    <row r="130">
      <c r="A130" s="8" t="s">
        <v>11</v>
      </c>
      <c r="B130" s="5" t="s">
        <v>338</v>
      </c>
      <c r="C130" s="9">
        <v>0.0</v>
      </c>
      <c r="D130" s="7">
        <v>-2.0</v>
      </c>
      <c r="E130" s="7">
        <f>+1</f>
        <v>1</v>
      </c>
    </row>
    <row r="131">
      <c r="A131" s="8" t="s">
        <v>136</v>
      </c>
      <c r="B131" s="5" t="s">
        <v>338</v>
      </c>
      <c r="C131" s="9">
        <v>0.0</v>
      </c>
      <c r="D131" s="7">
        <v>-7.0</v>
      </c>
      <c r="E131" s="7">
        <f>+12</f>
        <v>12</v>
      </c>
    </row>
    <row r="132">
      <c r="A132" s="8" t="s">
        <v>155</v>
      </c>
      <c r="B132" s="5" t="s">
        <v>338</v>
      </c>
      <c r="C132" s="9">
        <v>0.0</v>
      </c>
      <c r="D132" s="7">
        <v>-37.0</v>
      </c>
      <c r="E132" s="7">
        <v>-2.0</v>
      </c>
    </row>
    <row r="133">
      <c r="A133" s="8" t="s">
        <v>100</v>
      </c>
      <c r="B133" s="5" t="s">
        <v>338</v>
      </c>
      <c r="C133" s="9">
        <v>0.0</v>
      </c>
      <c r="D133" s="7">
        <v>-60.0</v>
      </c>
      <c r="E133" s="7">
        <v>-25.0</v>
      </c>
    </row>
    <row r="134">
      <c r="A134" s="8" t="s">
        <v>84</v>
      </c>
      <c r="B134" s="5" t="s">
        <v>338</v>
      </c>
      <c r="C134" s="9">
        <v>0.0</v>
      </c>
      <c r="D134" s="7">
        <v>-14.0</v>
      </c>
      <c r="E134" s="7">
        <f>+10</f>
        <v>10</v>
      </c>
    </row>
    <row r="135">
      <c r="A135" s="8" t="s">
        <v>158</v>
      </c>
      <c r="B135" s="5" t="s">
        <v>161</v>
      </c>
      <c r="C135" s="9">
        <v>0.0</v>
      </c>
      <c r="D135" s="7">
        <v>-17.9</v>
      </c>
      <c r="E135" s="4">
        <f>+1.9</f>
        <v>1.9</v>
      </c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</hyperlinks>
  <drawing r:id="rId13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9</v>
      </c>
      <c r="B2" s="5" t="s">
        <v>408</v>
      </c>
      <c r="C2" s="9">
        <v>1.0</v>
      </c>
      <c r="D2" s="7">
        <v>14.3</v>
      </c>
      <c r="E2" s="4">
        <f>+1.1</f>
        <v>1.1</v>
      </c>
    </row>
    <row r="3">
      <c r="A3" s="8" t="s">
        <v>28</v>
      </c>
      <c r="B3" s="5" t="s">
        <v>162</v>
      </c>
      <c r="C3" s="9">
        <v>0.929</v>
      </c>
      <c r="D3" s="7">
        <v>27.8</v>
      </c>
      <c r="E3" s="7">
        <f>+3.5</f>
        <v>3.5</v>
      </c>
    </row>
    <row r="4">
      <c r="A4" s="8" t="s">
        <v>20</v>
      </c>
      <c r="B4" s="5" t="s">
        <v>8</v>
      </c>
      <c r="C4" s="9">
        <v>0.923</v>
      </c>
      <c r="D4" s="7">
        <v>13.0</v>
      </c>
      <c r="E4" s="7">
        <f>+4.9</f>
        <v>4.9</v>
      </c>
    </row>
    <row r="5">
      <c r="A5" s="8" t="s">
        <v>15</v>
      </c>
      <c r="B5" s="5" t="s">
        <v>8</v>
      </c>
      <c r="C5" s="9">
        <v>0.923</v>
      </c>
      <c r="D5" s="7">
        <v>28.0</v>
      </c>
      <c r="E5" s="7">
        <f>+2.6</f>
        <v>2.6</v>
      </c>
    </row>
    <row r="6">
      <c r="A6" s="8" t="s">
        <v>138</v>
      </c>
      <c r="B6" s="5" t="s">
        <v>170</v>
      </c>
      <c r="C6" s="9">
        <v>0.857</v>
      </c>
      <c r="D6" s="7">
        <v>18.7</v>
      </c>
      <c r="E6" s="7">
        <f>+8.9</f>
        <v>8.9</v>
      </c>
    </row>
    <row r="7">
      <c r="A7" s="8" t="s">
        <v>7</v>
      </c>
      <c r="B7" s="5" t="s">
        <v>170</v>
      </c>
      <c r="C7" s="9">
        <v>0.857</v>
      </c>
      <c r="D7" s="7">
        <v>18.1</v>
      </c>
      <c r="E7" s="7">
        <f t="shared" ref="E7:E8" si="1">+3.6</f>
        <v>3.6</v>
      </c>
    </row>
    <row r="8">
      <c r="A8" s="8" t="s">
        <v>131</v>
      </c>
      <c r="B8" s="5" t="s">
        <v>170</v>
      </c>
      <c r="C8" s="9">
        <v>0.857</v>
      </c>
      <c r="D8" s="7">
        <v>10.6</v>
      </c>
      <c r="E8" s="4">
        <f t="shared" si="1"/>
        <v>3.6</v>
      </c>
    </row>
    <row r="9">
      <c r="A9" s="8" t="s">
        <v>114</v>
      </c>
      <c r="B9" s="5" t="s">
        <v>170</v>
      </c>
      <c r="C9" s="9">
        <v>0.857</v>
      </c>
      <c r="D9" s="7">
        <v>24.6</v>
      </c>
      <c r="E9" s="4">
        <f>+1.9</f>
        <v>1.9</v>
      </c>
    </row>
    <row r="10">
      <c r="A10" s="8" t="s">
        <v>47</v>
      </c>
      <c r="B10" s="5" t="s">
        <v>17</v>
      </c>
      <c r="C10" s="9">
        <v>0.846</v>
      </c>
      <c r="D10" s="7">
        <v>14.5</v>
      </c>
      <c r="E10" s="7">
        <v>-0.1</v>
      </c>
    </row>
    <row r="11">
      <c r="A11" s="8" t="s">
        <v>141</v>
      </c>
      <c r="B11" s="5" t="s">
        <v>17</v>
      </c>
      <c r="C11" s="9">
        <v>0.846</v>
      </c>
      <c r="D11" s="7">
        <v>13.5</v>
      </c>
      <c r="E11" s="7">
        <f>+6.7</f>
        <v>6.7</v>
      </c>
    </row>
    <row r="12">
      <c r="A12" s="8" t="s">
        <v>123</v>
      </c>
      <c r="B12" s="5" t="s">
        <v>17</v>
      </c>
      <c r="C12" s="9">
        <v>0.846</v>
      </c>
      <c r="D12" s="7">
        <v>13.3</v>
      </c>
      <c r="E12" s="7">
        <f>+2.3</f>
        <v>2.3</v>
      </c>
    </row>
    <row r="13">
      <c r="A13" s="8" t="s">
        <v>124</v>
      </c>
      <c r="B13" s="5" t="s">
        <v>17</v>
      </c>
      <c r="C13" s="9">
        <v>0.846</v>
      </c>
      <c r="D13" s="7">
        <v>12.0</v>
      </c>
      <c r="E13" s="7">
        <v>0.0</v>
      </c>
    </row>
    <row r="14">
      <c r="A14" s="8" t="s">
        <v>92</v>
      </c>
      <c r="B14" s="5" t="s">
        <v>17</v>
      </c>
      <c r="C14" s="9">
        <v>0.846</v>
      </c>
      <c r="D14" s="7">
        <v>16.7</v>
      </c>
      <c r="E14" s="7">
        <f>+7.8</f>
        <v>7.8</v>
      </c>
    </row>
    <row r="15">
      <c r="A15" s="8" t="s">
        <v>14</v>
      </c>
      <c r="B15" s="5" t="s">
        <v>17</v>
      </c>
      <c r="C15" s="9">
        <v>0.846</v>
      </c>
      <c r="D15" s="7">
        <v>22.7</v>
      </c>
      <c r="E15" s="4">
        <f>+10.9</f>
        <v>10.9</v>
      </c>
    </row>
    <row r="16">
      <c r="A16" s="8" t="s">
        <v>62</v>
      </c>
      <c r="B16" s="5" t="s">
        <v>17</v>
      </c>
      <c r="C16" s="9">
        <v>0.846</v>
      </c>
      <c r="D16" s="7">
        <v>7.4</v>
      </c>
      <c r="E16" s="7">
        <v>-0.3</v>
      </c>
    </row>
    <row r="17">
      <c r="A17" s="8" t="s">
        <v>94</v>
      </c>
      <c r="B17" s="5" t="s">
        <v>17</v>
      </c>
      <c r="C17" s="9">
        <v>0.846</v>
      </c>
      <c r="D17" s="7">
        <v>19.5</v>
      </c>
      <c r="E17" s="7">
        <f>+8.8</f>
        <v>8.8</v>
      </c>
    </row>
    <row r="18">
      <c r="A18" s="8" t="s">
        <v>81</v>
      </c>
      <c r="B18" s="5" t="s">
        <v>17</v>
      </c>
      <c r="C18" s="9">
        <v>0.846</v>
      </c>
      <c r="D18" s="7">
        <v>16.2</v>
      </c>
      <c r="E18" s="7">
        <f>+4.9</f>
        <v>4.9</v>
      </c>
    </row>
    <row r="19">
      <c r="A19" s="8" t="s">
        <v>107</v>
      </c>
      <c r="B19" s="5" t="s">
        <v>182</v>
      </c>
      <c r="C19" s="9">
        <v>0.786</v>
      </c>
      <c r="D19" s="7">
        <v>8.6</v>
      </c>
      <c r="E19" s="7">
        <f>+7.8</f>
        <v>7.8</v>
      </c>
    </row>
    <row r="20">
      <c r="A20" s="8" t="s">
        <v>122</v>
      </c>
      <c r="B20" s="5" t="s">
        <v>182</v>
      </c>
      <c r="C20" s="9">
        <v>0.786</v>
      </c>
      <c r="D20" s="7">
        <v>11.1</v>
      </c>
      <c r="E20" s="7">
        <f>+1.2</f>
        <v>1.2</v>
      </c>
    </row>
    <row r="21">
      <c r="A21" s="8" t="s">
        <v>75</v>
      </c>
      <c r="B21" s="5" t="s">
        <v>29</v>
      </c>
      <c r="C21" s="9">
        <v>0.769</v>
      </c>
      <c r="D21" s="7">
        <v>12.2</v>
      </c>
      <c r="E21" s="7">
        <v>-4.9</v>
      </c>
    </row>
    <row r="22">
      <c r="A22" s="8" t="s">
        <v>89</v>
      </c>
      <c r="B22" s="5" t="s">
        <v>29</v>
      </c>
      <c r="C22" s="9">
        <v>0.769</v>
      </c>
      <c r="D22" s="7">
        <v>9.2</v>
      </c>
      <c r="E22" s="4">
        <f>+6</f>
        <v>6</v>
      </c>
    </row>
    <row r="23">
      <c r="A23" s="8" t="s">
        <v>23</v>
      </c>
      <c r="B23" s="5" t="s">
        <v>29</v>
      </c>
      <c r="C23" s="9">
        <v>0.769</v>
      </c>
      <c r="D23" s="7">
        <v>12.7</v>
      </c>
      <c r="E23" s="7">
        <v>-3.6</v>
      </c>
    </row>
    <row r="24">
      <c r="A24" s="8" t="s">
        <v>78</v>
      </c>
      <c r="B24" s="5" t="s">
        <v>29</v>
      </c>
      <c r="C24" s="9">
        <v>0.769</v>
      </c>
      <c r="D24" s="7">
        <v>13.8</v>
      </c>
      <c r="E24" s="7">
        <f>+4.8</f>
        <v>4.8</v>
      </c>
    </row>
    <row r="25">
      <c r="A25" s="8" t="s">
        <v>95</v>
      </c>
      <c r="B25" s="5" t="s">
        <v>29</v>
      </c>
      <c r="C25" s="9">
        <v>0.769</v>
      </c>
      <c r="D25" s="7">
        <v>10.5</v>
      </c>
      <c r="E25" s="7">
        <f>+6.2</f>
        <v>6.2</v>
      </c>
    </row>
    <row r="26">
      <c r="A26" s="8" t="s">
        <v>74</v>
      </c>
      <c r="B26" s="5" t="s">
        <v>34</v>
      </c>
      <c r="C26" s="9">
        <v>0.75</v>
      </c>
      <c r="D26" s="7">
        <v>13.0</v>
      </c>
      <c r="E26" s="7">
        <f>+1</f>
        <v>1</v>
      </c>
    </row>
    <row r="27">
      <c r="A27" s="8" t="s">
        <v>106</v>
      </c>
      <c r="B27" s="5" t="s">
        <v>203</v>
      </c>
      <c r="C27" s="9">
        <v>0.714</v>
      </c>
      <c r="D27" s="7">
        <v>13.4</v>
      </c>
      <c r="E27" s="7">
        <f>+4.4</f>
        <v>4.4</v>
      </c>
    </row>
    <row r="28">
      <c r="A28" s="8" t="s">
        <v>77</v>
      </c>
      <c r="B28" s="5" t="s">
        <v>203</v>
      </c>
      <c r="C28" s="9">
        <v>0.714</v>
      </c>
      <c r="D28" s="7">
        <v>7.2</v>
      </c>
      <c r="E28" s="7">
        <v>-3.3</v>
      </c>
    </row>
    <row r="29">
      <c r="A29" s="8" t="s">
        <v>120</v>
      </c>
      <c r="B29" s="5" t="s">
        <v>46</v>
      </c>
      <c r="C29" s="9">
        <v>0.692</v>
      </c>
      <c r="D29" s="7">
        <v>1.6</v>
      </c>
      <c r="E29" s="7">
        <f>+3.5</f>
        <v>3.5</v>
      </c>
    </row>
    <row r="30">
      <c r="A30" s="8" t="s">
        <v>48</v>
      </c>
      <c r="B30" s="5" t="s">
        <v>46</v>
      </c>
      <c r="C30" s="9">
        <v>0.692</v>
      </c>
      <c r="D30" s="7">
        <v>3.2</v>
      </c>
      <c r="E30" s="7">
        <v>-0.8</v>
      </c>
    </row>
    <row r="31">
      <c r="A31" s="8" t="s">
        <v>50</v>
      </c>
      <c r="B31" s="5" t="s">
        <v>46</v>
      </c>
      <c r="C31" s="9">
        <v>0.692</v>
      </c>
      <c r="D31" s="7">
        <v>6.9</v>
      </c>
      <c r="E31" s="7">
        <v>-1.7</v>
      </c>
    </row>
    <row r="32">
      <c r="A32" s="8" t="s">
        <v>53</v>
      </c>
      <c r="B32" s="5" t="s">
        <v>46</v>
      </c>
      <c r="C32" s="9">
        <v>0.692</v>
      </c>
      <c r="D32" s="7">
        <v>14.1</v>
      </c>
      <c r="E32" s="7">
        <f>+5.7</f>
        <v>5.7</v>
      </c>
    </row>
    <row r="33">
      <c r="A33" s="8" t="s">
        <v>22</v>
      </c>
      <c r="B33" s="5" t="s">
        <v>46</v>
      </c>
      <c r="C33" s="9">
        <v>0.692</v>
      </c>
      <c r="D33" s="7">
        <v>11.3</v>
      </c>
      <c r="E33" s="7">
        <f>+5.9</f>
        <v>5.9</v>
      </c>
    </row>
    <row r="34">
      <c r="A34" s="8" t="s">
        <v>35</v>
      </c>
      <c r="B34" s="5" t="s">
        <v>46</v>
      </c>
      <c r="C34" s="9">
        <v>0.692</v>
      </c>
      <c r="D34" s="7">
        <v>6.5</v>
      </c>
      <c r="E34" s="7">
        <v>-2.0</v>
      </c>
    </row>
    <row r="35">
      <c r="A35" s="8" t="s">
        <v>93</v>
      </c>
      <c r="B35" s="5" t="s">
        <v>46</v>
      </c>
      <c r="C35" s="9">
        <v>0.692</v>
      </c>
      <c r="D35" s="7">
        <v>7.4</v>
      </c>
      <c r="E35" s="7">
        <f>+2.8</f>
        <v>2.8</v>
      </c>
    </row>
    <row r="36">
      <c r="A36" s="8" t="s">
        <v>39</v>
      </c>
      <c r="B36" s="5" t="s">
        <v>46</v>
      </c>
      <c r="C36" s="9">
        <v>0.692</v>
      </c>
      <c r="D36" s="7">
        <v>8.5</v>
      </c>
      <c r="E36" s="7">
        <f>+4.1</f>
        <v>4.1</v>
      </c>
    </row>
    <row r="37">
      <c r="A37" s="8" t="s">
        <v>153</v>
      </c>
      <c r="B37" s="5" t="s">
        <v>46</v>
      </c>
      <c r="C37" s="9">
        <v>0.692</v>
      </c>
      <c r="D37" s="7">
        <v>11.9</v>
      </c>
      <c r="E37" s="7">
        <f>+7.2</f>
        <v>7.2</v>
      </c>
    </row>
    <row r="38">
      <c r="A38" s="8" t="s">
        <v>116</v>
      </c>
      <c r="B38" s="5" t="s">
        <v>46</v>
      </c>
      <c r="C38" s="9">
        <v>0.692</v>
      </c>
      <c r="D38" s="7">
        <v>7.3</v>
      </c>
      <c r="E38" s="7">
        <f>+0.5</f>
        <v>0.5</v>
      </c>
    </row>
    <row r="39">
      <c r="A39" s="8" t="s">
        <v>91</v>
      </c>
      <c r="B39" s="5" t="s">
        <v>49</v>
      </c>
      <c r="C39" s="9">
        <v>0.667</v>
      </c>
      <c r="D39" s="7">
        <v>10.0</v>
      </c>
      <c r="E39" s="7">
        <f>+8.5</f>
        <v>8.5</v>
      </c>
    </row>
    <row r="40">
      <c r="A40" s="8" t="s">
        <v>144</v>
      </c>
      <c r="B40" s="5" t="s">
        <v>49</v>
      </c>
      <c r="C40" s="9">
        <v>0.667</v>
      </c>
      <c r="D40" s="7">
        <v>-1.4</v>
      </c>
      <c r="E40" s="7">
        <f>+1.5</f>
        <v>1.5</v>
      </c>
    </row>
    <row r="41">
      <c r="A41" s="8" t="s">
        <v>132</v>
      </c>
      <c r="B41" s="5" t="s">
        <v>49</v>
      </c>
      <c r="C41" s="9">
        <v>0.667</v>
      </c>
      <c r="D41" s="7">
        <v>14.9</v>
      </c>
      <c r="E41" s="7">
        <f>+2.5</f>
        <v>2.5</v>
      </c>
    </row>
    <row r="42">
      <c r="A42" s="8" t="s">
        <v>101</v>
      </c>
      <c r="B42" s="5" t="s">
        <v>49</v>
      </c>
      <c r="C42" s="9">
        <v>0.667</v>
      </c>
      <c r="D42" s="7">
        <v>2.4</v>
      </c>
      <c r="E42" s="7">
        <f>+2.8</f>
        <v>2.8</v>
      </c>
    </row>
    <row r="43">
      <c r="A43" s="8" t="s">
        <v>145</v>
      </c>
      <c r="B43" s="5" t="s">
        <v>224</v>
      </c>
      <c r="C43" s="9">
        <v>0.643</v>
      </c>
      <c r="D43" s="7">
        <v>6.9</v>
      </c>
      <c r="E43" s="7">
        <f>+2.2</f>
        <v>2.2</v>
      </c>
    </row>
    <row r="44">
      <c r="A44" s="8" t="s">
        <v>121</v>
      </c>
      <c r="B44" s="5" t="s">
        <v>69</v>
      </c>
      <c r="C44" s="9">
        <v>0.615</v>
      </c>
      <c r="D44" s="7">
        <v>6.2</v>
      </c>
      <c r="E44" s="7">
        <f>+2.6</f>
        <v>2.6</v>
      </c>
    </row>
    <row r="45">
      <c r="A45" s="8" t="s">
        <v>26</v>
      </c>
      <c r="B45" s="5" t="s">
        <v>69</v>
      </c>
      <c r="C45" s="9">
        <v>0.615</v>
      </c>
      <c r="D45" s="7">
        <v>-0.7</v>
      </c>
      <c r="E45" s="7">
        <v>-3.0</v>
      </c>
    </row>
    <row r="46">
      <c r="A46" s="8" t="s">
        <v>111</v>
      </c>
      <c r="B46" s="5" t="s">
        <v>69</v>
      </c>
      <c r="C46" s="9">
        <v>0.615</v>
      </c>
      <c r="D46" s="7">
        <v>6.2</v>
      </c>
      <c r="E46" s="7">
        <v>-0.1</v>
      </c>
    </row>
    <row r="47">
      <c r="A47" s="8" t="s">
        <v>33</v>
      </c>
      <c r="B47" s="5" t="s">
        <v>69</v>
      </c>
      <c r="C47" s="9">
        <v>0.615</v>
      </c>
      <c r="D47" s="7">
        <v>10.0</v>
      </c>
      <c r="E47" s="7">
        <f>+1.5</f>
        <v>1.5</v>
      </c>
    </row>
    <row r="48">
      <c r="A48" s="8" t="s">
        <v>10</v>
      </c>
      <c r="B48" s="5" t="s">
        <v>69</v>
      </c>
      <c r="C48" s="9">
        <v>0.615</v>
      </c>
      <c r="D48" s="7">
        <v>5.7</v>
      </c>
      <c r="E48" s="7">
        <v>-0.7</v>
      </c>
    </row>
    <row r="49">
      <c r="A49" s="8" t="s">
        <v>113</v>
      </c>
      <c r="B49" s="5" t="s">
        <v>69</v>
      </c>
      <c r="C49" s="9">
        <v>0.615</v>
      </c>
      <c r="D49" s="7">
        <v>7.2</v>
      </c>
      <c r="E49" s="7">
        <f>+6.5</f>
        <v>6.5</v>
      </c>
    </row>
    <row r="50">
      <c r="A50" s="8" t="s">
        <v>156</v>
      </c>
      <c r="B50" s="5" t="s">
        <v>69</v>
      </c>
      <c r="C50" s="9">
        <v>0.615</v>
      </c>
      <c r="D50" s="7">
        <v>17.5</v>
      </c>
      <c r="E50" s="7">
        <f>+3</f>
        <v>3</v>
      </c>
    </row>
    <row r="51">
      <c r="A51" s="8" t="s">
        <v>59</v>
      </c>
      <c r="B51" s="5" t="s">
        <v>69</v>
      </c>
      <c r="C51" s="9">
        <v>0.615</v>
      </c>
      <c r="D51" s="7">
        <v>-0.2</v>
      </c>
      <c r="E51" s="7">
        <f>+0.4</f>
        <v>0.4</v>
      </c>
    </row>
    <row r="52">
      <c r="A52" s="8" t="s">
        <v>143</v>
      </c>
      <c r="B52" s="5" t="s">
        <v>69</v>
      </c>
      <c r="C52" s="9">
        <v>0.615</v>
      </c>
      <c r="D52" s="7">
        <v>4.7</v>
      </c>
      <c r="E52" s="7">
        <f>+2.1</f>
        <v>2.1</v>
      </c>
    </row>
    <row r="53">
      <c r="A53" s="8" t="s">
        <v>19</v>
      </c>
      <c r="B53" s="5" t="s">
        <v>69</v>
      </c>
      <c r="C53" s="9">
        <v>0.615</v>
      </c>
      <c r="D53" s="7">
        <v>14.7</v>
      </c>
      <c r="E53" s="7">
        <f>+3.3</f>
        <v>3.3</v>
      </c>
    </row>
    <row r="54">
      <c r="A54" s="8" t="s">
        <v>64</v>
      </c>
      <c r="B54" s="5" t="s">
        <v>69</v>
      </c>
      <c r="C54" s="9">
        <v>0.615</v>
      </c>
      <c r="D54" s="7">
        <v>14.1</v>
      </c>
      <c r="E54" s="7">
        <f>+8.2</f>
        <v>8.2</v>
      </c>
    </row>
    <row r="55">
      <c r="A55" s="8" t="s">
        <v>40</v>
      </c>
      <c r="B55" s="5" t="s">
        <v>69</v>
      </c>
      <c r="C55" s="9">
        <v>0.615</v>
      </c>
      <c r="D55" s="7">
        <v>2.8</v>
      </c>
      <c r="E55" s="7">
        <v>-0.8</v>
      </c>
    </row>
    <row r="56">
      <c r="A56" s="8" t="s">
        <v>147</v>
      </c>
      <c r="B56" s="5" t="s">
        <v>69</v>
      </c>
      <c r="C56" s="9">
        <v>0.615</v>
      </c>
      <c r="D56" s="7">
        <v>5.2</v>
      </c>
      <c r="E56" s="7">
        <f>+5.9</f>
        <v>5.9</v>
      </c>
    </row>
    <row r="57">
      <c r="A57" s="8" t="s">
        <v>25</v>
      </c>
      <c r="B57" s="5" t="s">
        <v>73</v>
      </c>
      <c r="C57" s="9">
        <v>0.583</v>
      </c>
      <c r="D57" s="7">
        <v>0.9</v>
      </c>
      <c r="E57" s="7">
        <f>+2.3</f>
        <v>2.3</v>
      </c>
    </row>
    <row r="58">
      <c r="A58" s="8" t="s">
        <v>125</v>
      </c>
      <c r="B58" s="5" t="s">
        <v>244</v>
      </c>
      <c r="C58" s="9">
        <v>0.571</v>
      </c>
      <c r="D58" s="7">
        <v>10.4</v>
      </c>
      <c r="E58" s="7">
        <f>+3.3</f>
        <v>3.3</v>
      </c>
    </row>
    <row r="59">
      <c r="A59" s="8" t="s">
        <v>72</v>
      </c>
      <c r="B59" s="5" t="s">
        <v>88</v>
      </c>
      <c r="C59" s="9">
        <v>0.539</v>
      </c>
      <c r="D59" s="7">
        <v>-3.5</v>
      </c>
      <c r="E59" s="7">
        <v>-1.3</v>
      </c>
    </row>
    <row r="60">
      <c r="A60" s="8" t="s">
        <v>140</v>
      </c>
      <c r="B60" s="5" t="s">
        <v>88</v>
      </c>
      <c r="C60" s="9">
        <v>0.539</v>
      </c>
      <c r="D60" s="7">
        <v>4.1</v>
      </c>
      <c r="E60" s="7">
        <v>-2.0</v>
      </c>
    </row>
    <row r="61">
      <c r="A61" s="8" t="s">
        <v>108</v>
      </c>
      <c r="B61" s="5" t="s">
        <v>88</v>
      </c>
      <c r="C61" s="9">
        <v>0.539</v>
      </c>
      <c r="D61" s="7">
        <v>1.8</v>
      </c>
      <c r="E61" s="7">
        <f>+6.9</f>
        <v>6.9</v>
      </c>
    </row>
    <row r="62">
      <c r="A62" s="8" t="s">
        <v>51</v>
      </c>
      <c r="B62" s="5" t="s">
        <v>88</v>
      </c>
      <c r="C62" s="9">
        <v>0.539</v>
      </c>
      <c r="D62" s="7">
        <v>4.8</v>
      </c>
      <c r="E62" s="7">
        <f>+3.8</f>
        <v>3.8</v>
      </c>
    </row>
    <row r="63">
      <c r="A63" s="8" t="s">
        <v>12</v>
      </c>
      <c r="B63" s="5" t="s">
        <v>88</v>
      </c>
      <c r="C63" s="9">
        <v>0.539</v>
      </c>
      <c r="D63" s="7">
        <v>3.8</v>
      </c>
      <c r="E63" s="7">
        <f>+6.6</f>
        <v>6.6</v>
      </c>
    </row>
    <row r="64">
      <c r="A64" s="8" t="s">
        <v>126</v>
      </c>
      <c r="B64" s="5" t="s">
        <v>88</v>
      </c>
      <c r="C64" s="9">
        <v>0.539</v>
      </c>
      <c r="D64" s="7">
        <v>3.7</v>
      </c>
      <c r="E64" s="7">
        <v>-3.1</v>
      </c>
    </row>
    <row r="65">
      <c r="A65" s="8" t="s">
        <v>60</v>
      </c>
      <c r="B65" s="5" t="s">
        <v>88</v>
      </c>
      <c r="C65" s="9">
        <v>0.539</v>
      </c>
      <c r="D65" s="7">
        <v>5.7</v>
      </c>
      <c r="E65" s="7">
        <v>-0.3</v>
      </c>
    </row>
    <row r="66">
      <c r="A66" s="8" t="s">
        <v>63</v>
      </c>
      <c r="B66" s="5" t="s">
        <v>88</v>
      </c>
      <c r="C66" s="9">
        <v>0.539</v>
      </c>
      <c r="D66" s="7">
        <v>-0.2</v>
      </c>
      <c r="E66" s="7">
        <f>+0.4</f>
        <v>0.4</v>
      </c>
    </row>
    <row r="67">
      <c r="A67" s="8" t="s">
        <v>41</v>
      </c>
      <c r="B67" s="5" t="s">
        <v>88</v>
      </c>
      <c r="C67" s="9">
        <v>0.539</v>
      </c>
      <c r="D67" s="7">
        <v>7.8</v>
      </c>
      <c r="E67" s="7">
        <v>-5.3</v>
      </c>
    </row>
    <row r="68">
      <c r="A68" s="8" t="s">
        <v>82</v>
      </c>
      <c r="B68" s="5" t="s">
        <v>88</v>
      </c>
      <c r="C68" s="9">
        <v>0.539</v>
      </c>
      <c r="D68" s="7">
        <v>2.5</v>
      </c>
      <c r="E68" s="7">
        <v>-0.2</v>
      </c>
    </row>
    <row r="69">
      <c r="A69" s="8" t="s">
        <v>146</v>
      </c>
      <c r="B69" s="5" t="s">
        <v>88</v>
      </c>
      <c r="C69" s="9">
        <v>0.539</v>
      </c>
      <c r="D69" s="7">
        <v>2.2</v>
      </c>
      <c r="E69" s="7">
        <v>-5.2</v>
      </c>
    </row>
    <row r="70">
      <c r="A70" s="8" t="s">
        <v>134</v>
      </c>
      <c r="B70" s="5" t="s">
        <v>88</v>
      </c>
      <c r="C70" s="9">
        <v>0.539</v>
      </c>
      <c r="D70" s="7">
        <v>1.4</v>
      </c>
      <c r="E70" s="7">
        <v>-7.0</v>
      </c>
    </row>
    <row r="71">
      <c r="A71" s="8" t="s">
        <v>67</v>
      </c>
      <c r="B71" s="5" t="s">
        <v>88</v>
      </c>
      <c r="C71" s="9">
        <v>0.539</v>
      </c>
      <c r="D71" s="7">
        <v>2.7</v>
      </c>
      <c r="E71" s="7">
        <f>+0.2</f>
        <v>0.2</v>
      </c>
    </row>
    <row r="72">
      <c r="A72" s="8" t="s">
        <v>42</v>
      </c>
      <c r="B72" s="5" t="s">
        <v>347</v>
      </c>
      <c r="C72" s="9">
        <v>0.5</v>
      </c>
      <c r="D72" s="7">
        <v>5.3</v>
      </c>
      <c r="E72" s="7">
        <f>+0.6</f>
        <v>0.6</v>
      </c>
    </row>
    <row r="73">
      <c r="A73" s="8" t="s">
        <v>76</v>
      </c>
      <c r="B73" s="5" t="s">
        <v>261</v>
      </c>
      <c r="C73" s="9">
        <v>0.462</v>
      </c>
      <c r="D73" s="7">
        <v>-2.6</v>
      </c>
      <c r="E73" s="7">
        <f>+1.3</f>
        <v>1.3</v>
      </c>
    </row>
    <row r="74">
      <c r="A74" s="8" t="s">
        <v>151</v>
      </c>
      <c r="B74" s="5" t="s">
        <v>261</v>
      </c>
      <c r="C74" s="9">
        <v>0.462</v>
      </c>
      <c r="D74" s="7">
        <v>-2.5</v>
      </c>
      <c r="E74" s="7">
        <v>-3.6</v>
      </c>
    </row>
    <row r="75">
      <c r="A75" s="8" t="s">
        <v>57</v>
      </c>
      <c r="B75" s="5" t="s">
        <v>261</v>
      </c>
      <c r="C75" s="9">
        <v>0.462</v>
      </c>
      <c r="D75" s="7">
        <v>0.6</v>
      </c>
      <c r="E75" s="7">
        <f>+2.2</f>
        <v>2.2</v>
      </c>
    </row>
    <row r="76">
      <c r="A76" s="8" t="s">
        <v>129</v>
      </c>
      <c r="B76" s="5" t="s">
        <v>261</v>
      </c>
      <c r="C76" s="9">
        <v>0.462</v>
      </c>
      <c r="D76" s="7">
        <v>-1.6</v>
      </c>
      <c r="E76" s="7">
        <v>-6.5</v>
      </c>
    </row>
    <row r="77">
      <c r="A77" s="8" t="s">
        <v>70</v>
      </c>
      <c r="B77" s="5" t="s">
        <v>261</v>
      </c>
      <c r="C77" s="9">
        <v>0.462</v>
      </c>
      <c r="D77" s="7">
        <v>-4.5</v>
      </c>
      <c r="E77" s="7">
        <v>-0.9</v>
      </c>
    </row>
    <row r="78">
      <c r="A78" s="8" t="s">
        <v>66</v>
      </c>
      <c r="B78" s="5" t="s">
        <v>261</v>
      </c>
      <c r="C78" s="9">
        <v>0.462</v>
      </c>
      <c r="D78" s="7">
        <v>5.5</v>
      </c>
      <c r="E78" s="7">
        <f>+2</f>
        <v>2</v>
      </c>
    </row>
    <row r="79">
      <c r="A79" s="8" t="s">
        <v>105</v>
      </c>
      <c r="B79" s="5" t="s">
        <v>103</v>
      </c>
      <c r="C79" s="9">
        <v>0.417</v>
      </c>
      <c r="D79" s="7">
        <v>-2.2</v>
      </c>
      <c r="E79" s="7">
        <v>-1.6</v>
      </c>
    </row>
    <row r="80">
      <c r="A80" s="8" t="s">
        <v>54</v>
      </c>
      <c r="B80" s="5" t="s">
        <v>103</v>
      </c>
      <c r="C80" s="9">
        <v>0.417</v>
      </c>
      <c r="D80" s="7">
        <v>0.5</v>
      </c>
      <c r="E80" s="7">
        <v>-5.1</v>
      </c>
    </row>
    <row r="81">
      <c r="A81" s="8" t="s">
        <v>58</v>
      </c>
      <c r="B81" s="5" t="s">
        <v>103</v>
      </c>
      <c r="C81" s="9">
        <v>0.417</v>
      </c>
      <c r="D81" s="7">
        <v>-2.7</v>
      </c>
      <c r="E81" s="7">
        <v>-3.2</v>
      </c>
    </row>
    <row r="82">
      <c r="A82" s="8" t="s">
        <v>36</v>
      </c>
      <c r="B82" s="5" t="s">
        <v>103</v>
      </c>
      <c r="C82" s="9">
        <v>0.417</v>
      </c>
      <c r="D82" s="7">
        <v>-3.6</v>
      </c>
      <c r="E82" s="7">
        <v>-9.9</v>
      </c>
    </row>
    <row r="83">
      <c r="A83" s="8" t="s">
        <v>68</v>
      </c>
      <c r="B83" s="5" t="s">
        <v>103</v>
      </c>
      <c r="C83" s="9">
        <v>0.417</v>
      </c>
      <c r="D83" s="7">
        <v>0.1</v>
      </c>
      <c r="E83" s="7">
        <f>+1.5</f>
        <v>1.5</v>
      </c>
    </row>
    <row r="84">
      <c r="A84" s="8" t="s">
        <v>24</v>
      </c>
      <c r="B84" s="5" t="s">
        <v>103</v>
      </c>
      <c r="C84" s="9">
        <v>0.417</v>
      </c>
      <c r="D84" s="7">
        <v>1.6</v>
      </c>
      <c r="E84" s="7">
        <f>+0.7</f>
        <v>0.7</v>
      </c>
    </row>
    <row r="85">
      <c r="A85" s="8" t="s">
        <v>65</v>
      </c>
      <c r="B85" s="5" t="s">
        <v>103</v>
      </c>
      <c r="C85" s="9">
        <v>0.417</v>
      </c>
      <c r="D85" s="7">
        <v>-13.3</v>
      </c>
      <c r="E85" s="7">
        <v>-7.8</v>
      </c>
    </row>
    <row r="86">
      <c r="A86" s="8" t="s">
        <v>43</v>
      </c>
      <c r="B86" s="5" t="s">
        <v>103</v>
      </c>
      <c r="C86" s="9">
        <v>0.417</v>
      </c>
      <c r="D86" s="7">
        <v>-2.1</v>
      </c>
      <c r="E86" s="7">
        <v>-2.5</v>
      </c>
    </row>
    <row r="87">
      <c r="A87" s="8" t="s">
        <v>115</v>
      </c>
      <c r="B87" s="5" t="s">
        <v>378</v>
      </c>
      <c r="C87" s="9">
        <v>0.364</v>
      </c>
      <c r="D87" s="7">
        <v>-6.5</v>
      </c>
      <c r="E87" s="7">
        <v>-3.5</v>
      </c>
    </row>
    <row r="88">
      <c r="A88" s="8" t="s">
        <v>45</v>
      </c>
      <c r="B88" s="5" t="s">
        <v>119</v>
      </c>
      <c r="C88" s="9">
        <v>0.333</v>
      </c>
      <c r="D88" s="7">
        <v>-0.3</v>
      </c>
      <c r="E88" s="7">
        <v>-3.2</v>
      </c>
    </row>
    <row r="89">
      <c r="A89" s="8" t="s">
        <v>87</v>
      </c>
      <c r="B89" s="5" t="s">
        <v>119</v>
      </c>
      <c r="C89" s="9">
        <v>0.333</v>
      </c>
      <c r="D89" s="7">
        <v>-11.6</v>
      </c>
      <c r="E89" s="7">
        <v>-6.5</v>
      </c>
    </row>
    <row r="90">
      <c r="A90" s="8" t="s">
        <v>104</v>
      </c>
      <c r="B90" s="5" t="s">
        <v>119</v>
      </c>
      <c r="C90" s="9">
        <v>0.333</v>
      </c>
      <c r="D90" s="7">
        <v>-7.3</v>
      </c>
      <c r="E90" s="7">
        <v>-2.2</v>
      </c>
    </row>
    <row r="91">
      <c r="A91" s="8" t="s">
        <v>150</v>
      </c>
      <c r="B91" s="5" t="s">
        <v>119</v>
      </c>
      <c r="C91" s="9">
        <v>0.333</v>
      </c>
      <c r="D91" s="7">
        <v>-6.9</v>
      </c>
      <c r="E91" s="7">
        <v>-10.3</v>
      </c>
    </row>
    <row r="92">
      <c r="A92" s="8" t="s">
        <v>5</v>
      </c>
      <c r="B92" s="5" t="s">
        <v>119</v>
      </c>
      <c r="C92" s="9">
        <v>0.333</v>
      </c>
      <c r="D92" s="7">
        <v>-4.5</v>
      </c>
      <c r="E92" s="7">
        <v>-0.6</v>
      </c>
    </row>
    <row r="93">
      <c r="A93" s="8" t="s">
        <v>56</v>
      </c>
      <c r="B93" s="5" t="s">
        <v>119</v>
      </c>
      <c r="C93" s="9">
        <v>0.333</v>
      </c>
      <c r="D93" s="7">
        <v>-3.6</v>
      </c>
      <c r="E93" s="7">
        <v>-3.8</v>
      </c>
    </row>
    <row r="94">
      <c r="A94" s="8" t="s">
        <v>61</v>
      </c>
      <c r="B94" s="5" t="s">
        <v>119</v>
      </c>
      <c r="C94" s="9">
        <v>0.333</v>
      </c>
      <c r="D94" s="7">
        <v>-5.8</v>
      </c>
      <c r="E94" s="7">
        <f>+5</f>
        <v>5</v>
      </c>
    </row>
    <row r="95">
      <c r="A95" s="8" t="s">
        <v>18</v>
      </c>
      <c r="B95" s="5" t="s">
        <v>119</v>
      </c>
      <c r="C95" s="9">
        <v>0.333</v>
      </c>
      <c r="D95" s="7">
        <v>-6.9</v>
      </c>
      <c r="E95" s="7">
        <v>-1.2</v>
      </c>
    </row>
    <row r="96">
      <c r="A96" s="8" t="s">
        <v>152</v>
      </c>
      <c r="B96" s="5" t="s">
        <v>119</v>
      </c>
      <c r="C96" s="9">
        <v>0.333</v>
      </c>
      <c r="D96" s="7">
        <v>-9.1</v>
      </c>
      <c r="E96" s="7">
        <f>+0.1</f>
        <v>0.1</v>
      </c>
    </row>
    <row r="97">
      <c r="A97" s="8" t="s">
        <v>130</v>
      </c>
      <c r="B97" s="5" t="s">
        <v>119</v>
      </c>
      <c r="C97" s="9">
        <v>0.333</v>
      </c>
      <c r="D97" s="7">
        <v>-6.6</v>
      </c>
      <c r="E97" s="7">
        <v>-0.3</v>
      </c>
    </row>
    <row r="98">
      <c r="A98" s="8" t="s">
        <v>31</v>
      </c>
      <c r="B98" s="5" t="s">
        <v>119</v>
      </c>
      <c r="C98" s="9">
        <v>0.333</v>
      </c>
      <c r="D98" s="7">
        <v>-6.2</v>
      </c>
      <c r="E98" s="7">
        <v>-4.8</v>
      </c>
    </row>
    <row r="99">
      <c r="A99" s="8" t="s">
        <v>133</v>
      </c>
      <c r="B99" s="5" t="s">
        <v>119</v>
      </c>
      <c r="C99" s="9">
        <v>0.333</v>
      </c>
      <c r="D99" s="7">
        <v>-7.1</v>
      </c>
      <c r="E99" s="7">
        <f>+2.8</f>
        <v>2.8</v>
      </c>
    </row>
    <row r="100">
      <c r="A100" s="8" t="s">
        <v>98</v>
      </c>
      <c r="B100" s="5" t="s">
        <v>119</v>
      </c>
      <c r="C100" s="9">
        <v>0.333</v>
      </c>
      <c r="D100" s="7">
        <v>-4.9</v>
      </c>
      <c r="E100" s="7">
        <f>+6.3</f>
        <v>6.3</v>
      </c>
    </row>
    <row r="101">
      <c r="A101" s="8" t="s">
        <v>38</v>
      </c>
      <c r="B101" s="5" t="s">
        <v>399</v>
      </c>
      <c r="C101" s="9">
        <v>0.308</v>
      </c>
      <c r="D101" s="7">
        <v>-4.5</v>
      </c>
      <c r="E101" s="7">
        <f>+3.2</f>
        <v>3.2</v>
      </c>
    </row>
    <row r="102">
      <c r="A102" s="8" t="s">
        <v>148</v>
      </c>
      <c r="B102" s="5" t="s">
        <v>139</v>
      </c>
      <c r="C102" s="9">
        <v>0.25</v>
      </c>
      <c r="D102" s="7">
        <v>-8.6</v>
      </c>
      <c r="E102" s="7">
        <v>-2.8</v>
      </c>
    </row>
    <row r="103">
      <c r="A103" s="8" t="s">
        <v>52</v>
      </c>
      <c r="B103" s="5" t="s">
        <v>139</v>
      </c>
      <c r="C103" s="9">
        <v>0.25</v>
      </c>
      <c r="D103" s="7">
        <v>-14.5</v>
      </c>
      <c r="E103" s="7">
        <v>-4.5</v>
      </c>
    </row>
    <row r="104">
      <c r="A104" s="8" t="s">
        <v>110</v>
      </c>
      <c r="B104" s="5" t="s">
        <v>139</v>
      </c>
      <c r="C104" s="9">
        <v>0.25</v>
      </c>
      <c r="D104" s="7">
        <v>-9.7</v>
      </c>
      <c r="E104" s="7">
        <v>-8.1</v>
      </c>
    </row>
    <row r="105">
      <c r="A105" s="8" t="s">
        <v>127</v>
      </c>
      <c r="B105" s="5" t="s">
        <v>139</v>
      </c>
      <c r="C105" s="9">
        <v>0.25</v>
      </c>
      <c r="D105" s="7">
        <v>-9.3</v>
      </c>
      <c r="E105" s="7">
        <v>-1.1</v>
      </c>
    </row>
    <row r="106">
      <c r="A106" s="8" t="s">
        <v>37</v>
      </c>
      <c r="B106" s="5" t="s">
        <v>139</v>
      </c>
      <c r="C106" s="9">
        <v>0.25</v>
      </c>
      <c r="D106" s="7">
        <v>-6.8</v>
      </c>
      <c r="E106" s="7">
        <v>-7.6</v>
      </c>
    </row>
    <row r="107">
      <c r="A107" s="8" t="s">
        <v>80</v>
      </c>
      <c r="B107" s="5" t="s">
        <v>139</v>
      </c>
      <c r="C107" s="9">
        <v>0.25</v>
      </c>
      <c r="D107" s="7">
        <v>-10.1</v>
      </c>
      <c r="E107" s="7">
        <v>-7.5</v>
      </c>
    </row>
    <row r="108">
      <c r="A108" s="8" t="s">
        <v>96</v>
      </c>
      <c r="B108" s="5" t="s">
        <v>139</v>
      </c>
      <c r="C108" s="9">
        <v>0.25</v>
      </c>
      <c r="D108" s="7">
        <v>-13.3</v>
      </c>
      <c r="E108" s="7">
        <v>-3.9</v>
      </c>
    </row>
    <row r="109">
      <c r="A109" s="8" t="s">
        <v>83</v>
      </c>
      <c r="B109" s="5" t="s">
        <v>139</v>
      </c>
      <c r="C109" s="9">
        <v>0.25</v>
      </c>
      <c r="D109" s="7">
        <v>-6.7</v>
      </c>
      <c r="E109" s="7">
        <v>-4.6</v>
      </c>
    </row>
    <row r="110">
      <c r="A110" s="8" t="s">
        <v>135</v>
      </c>
      <c r="B110" s="5" t="s">
        <v>139</v>
      </c>
      <c r="C110" s="9">
        <v>0.25</v>
      </c>
      <c r="D110" s="7">
        <v>-10.3</v>
      </c>
      <c r="E110" s="7">
        <f>+3.2</f>
        <v>3.2</v>
      </c>
    </row>
    <row r="111">
      <c r="A111" s="8" t="s">
        <v>118</v>
      </c>
      <c r="B111" s="5" t="s">
        <v>149</v>
      </c>
      <c r="C111" s="9">
        <v>0.167</v>
      </c>
      <c r="D111" s="7">
        <v>-16.3</v>
      </c>
      <c r="E111" s="7">
        <v>-4.5</v>
      </c>
    </row>
    <row r="112">
      <c r="A112" s="8" t="s">
        <v>109</v>
      </c>
      <c r="B112" s="5" t="s">
        <v>149</v>
      </c>
      <c r="C112" s="9">
        <v>0.167</v>
      </c>
      <c r="D112" s="7">
        <v>-13.1</v>
      </c>
      <c r="E112" s="7">
        <v>-3.4</v>
      </c>
    </row>
    <row r="113">
      <c r="A113" s="8" t="s">
        <v>55</v>
      </c>
      <c r="B113" s="5" t="s">
        <v>149</v>
      </c>
      <c r="C113" s="9">
        <v>0.167</v>
      </c>
      <c r="D113" s="7">
        <v>-15.4</v>
      </c>
      <c r="E113" s="7">
        <v>-12.3</v>
      </c>
    </row>
    <row r="114">
      <c r="A114" s="8" t="s">
        <v>85</v>
      </c>
      <c r="B114" s="5" t="s">
        <v>149</v>
      </c>
      <c r="C114" s="9">
        <v>0.167</v>
      </c>
      <c r="D114" s="7">
        <v>-11.1</v>
      </c>
      <c r="E114" s="7">
        <v>-7.6</v>
      </c>
    </row>
    <row r="115">
      <c r="A115" s="8" t="s">
        <v>16</v>
      </c>
      <c r="B115" s="5" t="s">
        <v>149</v>
      </c>
      <c r="C115" s="9">
        <v>0.167</v>
      </c>
      <c r="D115" s="7">
        <v>-17.0</v>
      </c>
      <c r="E115" s="7">
        <v>-2.0</v>
      </c>
    </row>
    <row r="116">
      <c r="A116" s="8" t="s">
        <v>154</v>
      </c>
      <c r="B116" s="5" t="s">
        <v>149</v>
      </c>
      <c r="C116" s="9">
        <v>0.167</v>
      </c>
      <c r="D116" s="7">
        <v>-9.8</v>
      </c>
      <c r="E116" s="7">
        <v>-4.3</v>
      </c>
    </row>
    <row r="117">
      <c r="A117" s="8" t="s">
        <v>30</v>
      </c>
      <c r="B117" s="5" t="s">
        <v>396</v>
      </c>
      <c r="C117" s="9">
        <v>0.154</v>
      </c>
      <c r="D117" s="7">
        <v>-10.6</v>
      </c>
      <c r="E117" s="7">
        <v>-1.6</v>
      </c>
    </row>
    <row r="118">
      <c r="A118" s="8" t="s">
        <v>137</v>
      </c>
      <c r="B118" s="5" t="s">
        <v>396</v>
      </c>
      <c r="C118" s="9">
        <v>0.154</v>
      </c>
      <c r="D118" s="7">
        <v>-11.0</v>
      </c>
      <c r="E118" s="7">
        <v>-1.2</v>
      </c>
    </row>
    <row r="119">
      <c r="A119" s="8" t="s">
        <v>102</v>
      </c>
      <c r="B119" s="5" t="s">
        <v>157</v>
      </c>
      <c r="C119" s="9">
        <v>0.083</v>
      </c>
      <c r="D119" s="7">
        <v>-9.6</v>
      </c>
      <c r="E119" s="7">
        <f>+2.1</f>
        <v>2.1</v>
      </c>
    </row>
    <row r="120">
      <c r="A120" s="8" t="s">
        <v>142</v>
      </c>
      <c r="B120" s="5" t="s">
        <v>157</v>
      </c>
      <c r="C120" s="9">
        <v>0.083</v>
      </c>
      <c r="D120" s="7">
        <v>-28.2</v>
      </c>
      <c r="E120" s="7">
        <v>-8.7</v>
      </c>
    </row>
    <row r="121">
      <c r="A121" s="8" t="s">
        <v>112</v>
      </c>
      <c r="B121" s="5" t="s">
        <v>157</v>
      </c>
      <c r="C121" s="9">
        <v>0.083</v>
      </c>
      <c r="D121" s="7">
        <v>-17.8</v>
      </c>
      <c r="E121" s="7">
        <v>-4.0</v>
      </c>
    </row>
    <row r="122">
      <c r="A122" s="8" t="s">
        <v>128</v>
      </c>
      <c r="B122" s="5" t="s">
        <v>157</v>
      </c>
      <c r="C122" s="9">
        <v>0.083</v>
      </c>
      <c r="D122" s="7">
        <v>-20.8</v>
      </c>
      <c r="E122" s="7">
        <v>-5.9</v>
      </c>
    </row>
    <row r="123">
      <c r="A123" s="8" t="s">
        <v>160</v>
      </c>
      <c r="B123" s="5" t="s">
        <v>157</v>
      </c>
      <c r="C123" s="9">
        <v>0.083</v>
      </c>
      <c r="D123" s="7">
        <v>-27.5</v>
      </c>
      <c r="E123" s="7">
        <v>-5.0</v>
      </c>
    </row>
    <row r="124">
      <c r="A124" s="8" t="s">
        <v>79</v>
      </c>
      <c r="B124" s="5" t="s">
        <v>161</v>
      </c>
      <c r="C124" s="9">
        <v>0.0</v>
      </c>
      <c r="D124" s="7">
        <v>-18.2</v>
      </c>
      <c r="E124" s="7">
        <v>-12.5</v>
      </c>
    </row>
    <row r="125">
      <c r="A125" s="8" t="s">
        <v>117</v>
      </c>
      <c r="B125" s="5" t="s">
        <v>338</v>
      </c>
      <c r="C125" s="9">
        <v>0.0</v>
      </c>
      <c r="D125" s="7">
        <v>-22.0</v>
      </c>
      <c r="E125" s="7">
        <v>-8.0</v>
      </c>
    </row>
    <row r="126">
      <c r="A126" s="8" t="s">
        <v>11</v>
      </c>
      <c r="B126" s="5" t="s">
        <v>338</v>
      </c>
      <c r="C126" s="9">
        <v>0.0</v>
      </c>
      <c r="D126" s="7">
        <v>-30.0</v>
      </c>
      <c r="E126" s="7">
        <f>+5</f>
        <v>5</v>
      </c>
    </row>
    <row r="127">
      <c r="A127" s="8" t="s">
        <v>99</v>
      </c>
      <c r="B127" s="5" t="s">
        <v>338</v>
      </c>
      <c r="C127" s="9">
        <v>0.0</v>
      </c>
      <c r="D127" s="7">
        <v>-31.0</v>
      </c>
      <c r="E127" s="7">
        <f>+1</f>
        <v>1</v>
      </c>
    </row>
    <row r="128">
      <c r="A128" s="8" t="s">
        <v>136</v>
      </c>
      <c r="B128" s="5" t="s">
        <v>338</v>
      </c>
      <c r="C128" s="9">
        <v>0.0</v>
      </c>
      <c r="D128" s="7">
        <v>-3.0</v>
      </c>
      <c r="E128" s="7">
        <f>+22.5</f>
        <v>22.5</v>
      </c>
    </row>
    <row r="129">
      <c r="A129" s="8" t="s">
        <v>155</v>
      </c>
      <c r="B129" s="5" t="s">
        <v>401</v>
      </c>
      <c r="C129" s="9">
        <v>0.0</v>
      </c>
      <c r="D129" s="7">
        <v>-22.0</v>
      </c>
      <c r="E129" s="7">
        <f>+9.8</f>
        <v>9.8</v>
      </c>
    </row>
    <row r="130">
      <c r="A130" s="8" t="s">
        <v>71</v>
      </c>
      <c r="B130" s="5" t="s">
        <v>401</v>
      </c>
      <c r="C130" s="9">
        <v>0.0</v>
      </c>
      <c r="D130" s="7">
        <v>-24.0</v>
      </c>
      <c r="E130" s="7">
        <f>+14.3</f>
        <v>14.3</v>
      </c>
    </row>
    <row r="131">
      <c r="A131" s="8" t="s">
        <v>100</v>
      </c>
      <c r="B131" s="5" t="s">
        <v>338</v>
      </c>
      <c r="C131" s="9">
        <v>0.0</v>
      </c>
      <c r="D131" s="7">
        <v>-10.0</v>
      </c>
      <c r="E131" s="7">
        <f>+21.5</f>
        <v>21.5</v>
      </c>
    </row>
    <row r="132">
      <c r="A132" s="8" t="s">
        <v>84</v>
      </c>
      <c r="B132" s="5" t="s">
        <v>401</v>
      </c>
      <c r="C132" s="9">
        <v>0.0</v>
      </c>
      <c r="D132" s="7">
        <v>-35.0</v>
      </c>
      <c r="E132" s="7">
        <f>+1.3</f>
        <v>1.3</v>
      </c>
    </row>
    <row r="133">
      <c r="A133" s="8" t="s">
        <v>158</v>
      </c>
      <c r="B133" s="5" t="s">
        <v>401</v>
      </c>
      <c r="C133" s="9">
        <v>0.0</v>
      </c>
      <c r="D133" s="7">
        <v>-31.0</v>
      </c>
      <c r="E133" s="7">
        <v>-5.0</v>
      </c>
    </row>
    <row r="134">
      <c r="A134" s="8" t="s">
        <v>84</v>
      </c>
      <c r="B134" s="5" t="s">
        <v>338</v>
      </c>
      <c r="C134" s="9">
        <v>0.0</v>
      </c>
      <c r="D134" s="7">
        <v>-14.0</v>
      </c>
      <c r="E134" s="7">
        <f>+10</f>
        <v>10</v>
      </c>
    </row>
    <row r="135">
      <c r="A135" s="8" t="s">
        <v>158</v>
      </c>
      <c r="B135" s="5" t="s">
        <v>161</v>
      </c>
      <c r="C135" s="9">
        <v>0.0</v>
      </c>
      <c r="D135" s="7">
        <v>-17.9</v>
      </c>
      <c r="E135" s="4">
        <f>+1.9</f>
        <v>1.9</v>
      </c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</hyperlinks>
  <drawing r:id="rId13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155</v>
      </c>
      <c r="B2" s="5" t="s">
        <v>344</v>
      </c>
      <c r="C2" s="9">
        <v>1.0</v>
      </c>
      <c r="D2" s="7">
        <v>3.0</v>
      </c>
      <c r="E2" s="7">
        <v>-2.5</v>
      </c>
    </row>
    <row r="3">
      <c r="A3" s="8" t="s">
        <v>75</v>
      </c>
      <c r="B3" s="5" t="s">
        <v>162</v>
      </c>
      <c r="C3" s="9">
        <v>0.929</v>
      </c>
      <c r="D3" s="7">
        <v>24.4</v>
      </c>
      <c r="E3" s="7">
        <f>+8.5</f>
        <v>8.5</v>
      </c>
    </row>
    <row r="4">
      <c r="A4" s="8" t="s">
        <v>36</v>
      </c>
      <c r="B4" s="5" t="s">
        <v>162</v>
      </c>
      <c r="C4" s="9">
        <v>0.929</v>
      </c>
      <c r="D4" s="7">
        <v>26.9</v>
      </c>
      <c r="E4" s="7">
        <f>+9.5</f>
        <v>9.5</v>
      </c>
    </row>
    <row r="5">
      <c r="A5" s="8" t="s">
        <v>47</v>
      </c>
      <c r="B5" s="5" t="s">
        <v>8</v>
      </c>
      <c r="C5" s="9">
        <v>0.923</v>
      </c>
      <c r="D5" s="7">
        <v>25.5</v>
      </c>
      <c r="E5" s="7">
        <v>-0.3</v>
      </c>
    </row>
    <row r="6">
      <c r="A6" s="8" t="s">
        <v>28</v>
      </c>
      <c r="B6" s="5" t="s">
        <v>8</v>
      </c>
      <c r="C6" s="9">
        <v>0.923</v>
      </c>
      <c r="D6" s="7">
        <v>26.7</v>
      </c>
      <c r="E6" s="7">
        <f>+5</f>
        <v>5</v>
      </c>
    </row>
    <row r="7">
      <c r="A7" s="8" t="s">
        <v>156</v>
      </c>
      <c r="B7" s="5" t="s">
        <v>8</v>
      </c>
      <c r="C7" s="9">
        <v>0.923</v>
      </c>
      <c r="D7" s="7">
        <v>21.9</v>
      </c>
      <c r="E7" s="7">
        <f>+7.3</f>
        <v>7.3</v>
      </c>
    </row>
    <row r="8">
      <c r="A8" s="8" t="s">
        <v>79</v>
      </c>
      <c r="B8" s="5" t="s">
        <v>170</v>
      </c>
      <c r="C8" s="9">
        <v>0.857</v>
      </c>
      <c r="D8" s="7">
        <v>16.1</v>
      </c>
      <c r="E8" s="4">
        <f>+5.8</f>
        <v>5.8</v>
      </c>
    </row>
    <row r="9">
      <c r="A9" s="8" t="s">
        <v>15</v>
      </c>
      <c r="B9" s="5" t="s">
        <v>170</v>
      </c>
      <c r="C9" s="9">
        <v>0.857</v>
      </c>
      <c r="D9" s="7">
        <v>21.4</v>
      </c>
      <c r="E9" s="7">
        <v>-0.1</v>
      </c>
    </row>
    <row r="10">
      <c r="A10" s="8" t="s">
        <v>123</v>
      </c>
      <c r="B10" s="5" t="s">
        <v>17</v>
      </c>
      <c r="C10" s="9">
        <v>0.846</v>
      </c>
      <c r="D10" s="7">
        <v>11.7</v>
      </c>
      <c r="E10" s="7">
        <f>+1.4</f>
        <v>1.4</v>
      </c>
    </row>
    <row r="11">
      <c r="A11" s="8" t="s">
        <v>150</v>
      </c>
      <c r="B11" s="5" t="s">
        <v>17</v>
      </c>
      <c r="C11" s="9">
        <v>0.846</v>
      </c>
      <c r="D11" s="7">
        <v>14.5</v>
      </c>
      <c r="E11" s="7">
        <f>+5.3</f>
        <v>5.3</v>
      </c>
    </row>
    <row r="12">
      <c r="A12" s="8" t="s">
        <v>33</v>
      </c>
      <c r="B12" s="5" t="s">
        <v>17</v>
      </c>
      <c r="C12" s="9">
        <v>0.846</v>
      </c>
      <c r="D12" s="7">
        <v>15.9</v>
      </c>
      <c r="E12" s="7">
        <f>+7.6</f>
        <v>7.6</v>
      </c>
    </row>
    <row r="13">
      <c r="A13" s="8" t="s">
        <v>60</v>
      </c>
      <c r="B13" s="5" t="s">
        <v>17</v>
      </c>
      <c r="C13" s="9">
        <v>0.846</v>
      </c>
      <c r="D13" s="7">
        <v>19.4</v>
      </c>
      <c r="E13" s="7">
        <f>+1.4</f>
        <v>1.4</v>
      </c>
    </row>
    <row r="14">
      <c r="A14" s="8" t="s">
        <v>131</v>
      </c>
      <c r="B14" s="5" t="s">
        <v>17</v>
      </c>
      <c r="C14" s="9">
        <v>0.846</v>
      </c>
      <c r="D14" s="7">
        <v>21.2</v>
      </c>
      <c r="E14" s="7">
        <f>+5.8</f>
        <v>5.8</v>
      </c>
    </row>
    <row r="15">
      <c r="A15" s="8" t="s">
        <v>41</v>
      </c>
      <c r="B15" s="5" t="s">
        <v>21</v>
      </c>
      <c r="C15" s="9">
        <v>0.833</v>
      </c>
      <c r="D15" s="7">
        <v>12.2</v>
      </c>
      <c r="E15" s="4">
        <f>+5.9</f>
        <v>5.9</v>
      </c>
    </row>
    <row r="16">
      <c r="A16" s="8" t="s">
        <v>138</v>
      </c>
      <c r="B16" s="5" t="s">
        <v>182</v>
      </c>
      <c r="C16" s="9">
        <v>0.786</v>
      </c>
      <c r="D16" s="7">
        <v>8.0</v>
      </c>
      <c r="E16" s="7">
        <f>+1.2</f>
        <v>1.2</v>
      </c>
    </row>
    <row r="17">
      <c r="A17" s="8" t="s">
        <v>125</v>
      </c>
      <c r="B17" s="5" t="s">
        <v>182</v>
      </c>
      <c r="C17" s="9">
        <v>0.786</v>
      </c>
      <c r="D17" s="7">
        <v>25.1</v>
      </c>
      <c r="E17" s="7">
        <f>+5.7</f>
        <v>5.7</v>
      </c>
    </row>
    <row r="18">
      <c r="A18" s="8" t="s">
        <v>126</v>
      </c>
      <c r="B18" s="5" t="s">
        <v>182</v>
      </c>
      <c r="C18" s="9">
        <v>0.786</v>
      </c>
      <c r="D18" s="7">
        <v>12.6</v>
      </c>
      <c r="E18" s="7">
        <f>+4</f>
        <v>4</v>
      </c>
    </row>
    <row r="19">
      <c r="A19" s="8" t="s">
        <v>146</v>
      </c>
      <c r="B19" s="5" t="s">
        <v>182</v>
      </c>
      <c r="C19" s="9">
        <v>0.786</v>
      </c>
      <c r="D19" s="7">
        <v>10.3</v>
      </c>
      <c r="E19" s="7">
        <v>0.0</v>
      </c>
    </row>
    <row r="20">
      <c r="A20" s="8" t="s">
        <v>92</v>
      </c>
      <c r="B20" s="5" t="s">
        <v>29</v>
      </c>
      <c r="C20" s="9">
        <v>0.769</v>
      </c>
      <c r="D20" s="7">
        <v>3.8</v>
      </c>
      <c r="E20" s="7">
        <f>+5</f>
        <v>5</v>
      </c>
    </row>
    <row r="21">
      <c r="A21" s="8" t="s">
        <v>23</v>
      </c>
      <c r="B21" s="5" t="s">
        <v>29</v>
      </c>
      <c r="C21" s="9">
        <v>0.769</v>
      </c>
      <c r="D21" s="7">
        <v>17.5</v>
      </c>
      <c r="E21" s="7">
        <v>-1.4</v>
      </c>
    </row>
    <row r="22">
      <c r="A22" s="8" t="s">
        <v>113</v>
      </c>
      <c r="B22" s="5" t="s">
        <v>29</v>
      </c>
      <c r="C22" s="9">
        <v>0.769</v>
      </c>
      <c r="D22" s="7">
        <v>8.1</v>
      </c>
      <c r="E22" s="4">
        <f>+2.8</f>
        <v>2.8</v>
      </c>
    </row>
    <row r="23">
      <c r="A23" s="8" t="s">
        <v>78</v>
      </c>
      <c r="B23" s="5" t="s">
        <v>29</v>
      </c>
      <c r="C23" s="9">
        <v>0.769</v>
      </c>
      <c r="D23" s="7">
        <v>13.0</v>
      </c>
      <c r="E23" s="7">
        <f>+4</f>
        <v>4</v>
      </c>
    </row>
    <row r="24">
      <c r="A24" s="8" t="s">
        <v>95</v>
      </c>
      <c r="B24" s="5" t="s">
        <v>29</v>
      </c>
      <c r="C24" s="9">
        <v>0.769</v>
      </c>
      <c r="D24" s="7">
        <v>11.7</v>
      </c>
      <c r="E24" s="7">
        <f>+4.8</f>
        <v>4.8</v>
      </c>
    </row>
    <row r="25">
      <c r="A25" s="8" t="s">
        <v>19</v>
      </c>
      <c r="B25" s="5" t="s">
        <v>29</v>
      </c>
      <c r="C25" s="9">
        <v>0.769</v>
      </c>
      <c r="D25" s="7">
        <v>9.7</v>
      </c>
      <c r="E25" s="7">
        <f>+2.3</f>
        <v>2.3</v>
      </c>
    </row>
    <row r="26">
      <c r="A26" s="8" t="s">
        <v>134</v>
      </c>
      <c r="B26" s="5" t="s">
        <v>29</v>
      </c>
      <c r="C26" s="9">
        <v>0.769</v>
      </c>
      <c r="D26" s="7">
        <v>10.8</v>
      </c>
      <c r="E26" s="7">
        <f>+0.4</f>
        <v>0.4</v>
      </c>
    </row>
    <row r="27">
      <c r="A27" s="8" t="s">
        <v>50</v>
      </c>
      <c r="B27" s="5" t="s">
        <v>203</v>
      </c>
      <c r="C27" s="9">
        <v>0.714</v>
      </c>
      <c r="D27" s="7">
        <v>8.4</v>
      </c>
      <c r="E27" s="7">
        <f>+0.8</f>
        <v>0.8</v>
      </c>
    </row>
    <row r="28">
      <c r="A28" s="8" t="s">
        <v>7</v>
      </c>
      <c r="B28" s="5" t="s">
        <v>203</v>
      </c>
      <c r="C28" s="9">
        <v>0.714</v>
      </c>
      <c r="D28" s="7">
        <v>11.4</v>
      </c>
      <c r="E28" s="7">
        <f>+1.4</f>
        <v>1.4</v>
      </c>
    </row>
    <row r="29">
      <c r="A29" s="8" t="s">
        <v>81</v>
      </c>
      <c r="B29" s="5" t="s">
        <v>203</v>
      </c>
      <c r="C29" s="9">
        <v>0.714</v>
      </c>
      <c r="D29" s="7">
        <v>4.3</v>
      </c>
      <c r="E29" s="7">
        <v>-2.6</v>
      </c>
    </row>
    <row r="30">
      <c r="A30" s="8" t="s">
        <v>48</v>
      </c>
      <c r="B30" s="5" t="s">
        <v>46</v>
      </c>
      <c r="C30" s="9">
        <v>0.692</v>
      </c>
      <c r="D30" s="7">
        <v>10.5</v>
      </c>
      <c r="E30" s="7">
        <f>+5.7</f>
        <v>5.7</v>
      </c>
    </row>
    <row r="31">
      <c r="A31" s="8" t="s">
        <v>91</v>
      </c>
      <c r="B31" s="5" t="s">
        <v>46</v>
      </c>
      <c r="C31" s="9">
        <v>0.692</v>
      </c>
      <c r="D31" s="7">
        <v>2.5</v>
      </c>
      <c r="E31" s="7">
        <f>+0.8</f>
        <v>0.8</v>
      </c>
    </row>
    <row r="32">
      <c r="A32" s="8" t="s">
        <v>77</v>
      </c>
      <c r="B32" s="5" t="s">
        <v>46</v>
      </c>
      <c r="C32" s="9">
        <v>0.692</v>
      </c>
      <c r="D32" s="7">
        <v>5.8</v>
      </c>
      <c r="E32" s="7">
        <v>-3.1</v>
      </c>
    </row>
    <row r="33">
      <c r="A33" s="8" t="s">
        <v>93</v>
      </c>
      <c r="B33" s="5" t="s">
        <v>46</v>
      </c>
      <c r="C33" s="9">
        <v>0.692</v>
      </c>
      <c r="D33" s="7">
        <v>2.5</v>
      </c>
      <c r="E33" s="7">
        <f>+6.2</f>
        <v>6.2</v>
      </c>
    </row>
    <row r="34">
      <c r="A34" s="8" t="s">
        <v>114</v>
      </c>
      <c r="B34" s="5" t="s">
        <v>46</v>
      </c>
      <c r="C34" s="9">
        <v>0.692</v>
      </c>
      <c r="D34" s="7">
        <v>15.5</v>
      </c>
      <c r="E34" s="7">
        <f>+0.9</f>
        <v>0.9</v>
      </c>
    </row>
    <row r="35">
      <c r="A35" s="8" t="s">
        <v>115</v>
      </c>
      <c r="B35" s="5" t="s">
        <v>46</v>
      </c>
      <c r="C35" s="9">
        <v>0.692</v>
      </c>
      <c r="D35" s="7">
        <v>16.7</v>
      </c>
      <c r="E35" s="7">
        <f>+8</f>
        <v>8</v>
      </c>
    </row>
    <row r="36">
      <c r="A36" s="8" t="s">
        <v>116</v>
      </c>
      <c r="B36" s="5" t="s">
        <v>46</v>
      </c>
      <c r="C36" s="9">
        <v>0.692</v>
      </c>
      <c r="D36" s="7">
        <v>8.1</v>
      </c>
      <c r="E36" s="7">
        <f>+5.4</f>
        <v>5.4</v>
      </c>
    </row>
    <row r="37">
      <c r="A37" s="8" t="s">
        <v>122</v>
      </c>
      <c r="B37" s="5" t="s">
        <v>69</v>
      </c>
      <c r="C37" s="9">
        <v>0.615</v>
      </c>
      <c r="D37" s="7">
        <v>5.8</v>
      </c>
      <c r="E37" s="7">
        <f>+3.1</f>
        <v>3.1</v>
      </c>
    </row>
    <row r="38">
      <c r="A38" s="8" t="s">
        <v>74</v>
      </c>
      <c r="B38" s="5" t="s">
        <v>69</v>
      </c>
      <c r="C38" s="9">
        <v>0.615</v>
      </c>
      <c r="D38" s="7">
        <v>6.9</v>
      </c>
      <c r="E38" s="7">
        <f>+7.5</f>
        <v>7.5</v>
      </c>
    </row>
    <row r="39">
      <c r="A39" s="8" t="s">
        <v>51</v>
      </c>
      <c r="B39" s="5" t="s">
        <v>69</v>
      </c>
      <c r="C39" s="9">
        <v>0.615</v>
      </c>
      <c r="D39" s="7">
        <v>2.8</v>
      </c>
      <c r="E39" s="7">
        <v>-2.2</v>
      </c>
    </row>
    <row r="40">
      <c r="A40" s="8" t="s">
        <v>20</v>
      </c>
      <c r="B40" s="5" t="s">
        <v>69</v>
      </c>
      <c r="C40" s="9">
        <v>0.615</v>
      </c>
      <c r="D40" s="7">
        <v>8.5</v>
      </c>
      <c r="E40" s="7">
        <v>-1.7</v>
      </c>
    </row>
    <row r="41">
      <c r="A41" s="8" t="s">
        <v>110</v>
      </c>
      <c r="B41" s="5" t="s">
        <v>69</v>
      </c>
      <c r="C41" s="9">
        <v>0.615</v>
      </c>
      <c r="D41" s="7">
        <v>-3.2</v>
      </c>
      <c r="E41" s="7">
        <v>-4.3</v>
      </c>
    </row>
    <row r="42">
      <c r="A42" s="8" t="s">
        <v>58</v>
      </c>
      <c r="B42" s="5" t="s">
        <v>69</v>
      </c>
      <c r="C42" s="9">
        <v>0.615</v>
      </c>
      <c r="D42" s="7">
        <v>9.3</v>
      </c>
      <c r="E42" s="7">
        <f>+3.8</f>
        <v>3.8</v>
      </c>
    </row>
    <row r="43">
      <c r="A43" s="8" t="s">
        <v>35</v>
      </c>
      <c r="B43" s="5" t="s">
        <v>69</v>
      </c>
      <c r="C43" s="9">
        <v>0.615</v>
      </c>
      <c r="D43" s="7">
        <v>5.8</v>
      </c>
      <c r="E43" s="7">
        <f>+0.6</f>
        <v>0.6</v>
      </c>
    </row>
    <row r="44">
      <c r="A44" s="8" t="s">
        <v>24</v>
      </c>
      <c r="B44" s="5" t="s">
        <v>69</v>
      </c>
      <c r="C44" s="9">
        <v>0.615</v>
      </c>
      <c r="D44" s="7">
        <v>4.8</v>
      </c>
      <c r="E44" s="7">
        <f>+3.6</f>
        <v>3.6</v>
      </c>
    </row>
    <row r="45">
      <c r="A45" s="8" t="s">
        <v>130</v>
      </c>
      <c r="B45" s="5" t="s">
        <v>69</v>
      </c>
      <c r="C45" s="9">
        <v>0.615</v>
      </c>
      <c r="D45" s="7">
        <v>-1.7</v>
      </c>
      <c r="E45" s="7">
        <f>+3.2</f>
        <v>3.2</v>
      </c>
    </row>
    <row r="46">
      <c r="A46" s="8" t="s">
        <v>39</v>
      </c>
      <c r="B46" s="5" t="s">
        <v>69</v>
      </c>
      <c r="C46" s="9">
        <v>0.615</v>
      </c>
      <c r="D46" s="7">
        <v>4.8</v>
      </c>
      <c r="E46" s="7">
        <v>-2.6</v>
      </c>
    </row>
    <row r="47">
      <c r="A47" s="8" t="s">
        <v>31</v>
      </c>
      <c r="B47" s="5" t="s">
        <v>69</v>
      </c>
      <c r="C47" s="9">
        <v>0.615</v>
      </c>
      <c r="D47" s="7">
        <v>-0.6</v>
      </c>
      <c r="E47" s="7">
        <v>-0.3</v>
      </c>
    </row>
    <row r="48">
      <c r="A48" s="8" t="s">
        <v>82</v>
      </c>
      <c r="B48" s="5" t="s">
        <v>69</v>
      </c>
      <c r="C48" s="9">
        <v>0.615</v>
      </c>
      <c r="D48" s="7">
        <v>3.5</v>
      </c>
      <c r="E48" s="7">
        <f>+1.3</f>
        <v>1.3</v>
      </c>
    </row>
    <row r="49">
      <c r="A49" s="8" t="s">
        <v>42</v>
      </c>
      <c r="B49" s="5" t="s">
        <v>69</v>
      </c>
      <c r="C49" s="9">
        <v>0.615</v>
      </c>
      <c r="D49" s="7">
        <v>8.2</v>
      </c>
      <c r="E49" s="7">
        <f>+0.7</f>
        <v>0.7</v>
      </c>
    </row>
    <row r="50">
      <c r="A50" s="8" t="s">
        <v>83</v>
      </c>
      <c r="B50" s="5" t="s">
        <v>69</v>
      </c>
      <c r="C50" s="9">
        <v>0.615</v>
      </c>
      <c r="D50" s="7">
        <v>5.5</v>
      </c>
      <c r="E50" s="7">
        <v>-0.2</v>
      </c>
    </row>
    <row r="51">
      <c r="A51" s="8" t="s">
        <v>67</v>
      </c>
      <c r="B51" s="5" t="s">
        <v>73</v>
      </c>
      <c r="C51" s="9">
        <v>0.583</v>
      </c>
      <c r="D51" s="7">
        <v>-1.9</v>
      </c>
      <c r="E51" s="7">
        <f>+5.4</f>
        <v>5.4</v>
      </c>
    </row>
    <row r="52">
      <c r="A52" s="8" t="s">
        <v>45</v>
      </c>
      <c r="B52" s="5" t="s">
        <v>88</v>
      </c>
      <c r="C52" s="9">
        <v>0.539</v>
      </c>
      <c r="D52" s="7">
        <v>6.6</v>
      </c>
      <c r="E52" s="7">
        <f>+2.5</f>
        <v>2.5</v>
      </c>
    </row>
    <row r="53">
      <c r="A53" s="8" t="s">
        <v>105</v>
      </c>
      <c r="B53" s="5" t="s">
        <v>88</v>
      </c>
      <c r="C53" s="9">
        <v>0.539</v>
      </c>
      <c r="D53" s="7">
        <v>-6.8</v>
      </c>
      <c r="E53" s="7">
        <f>+1.6</f>
        <v>1.6</v>
      </c>
    </row>
    <row r="54">
      <c r="A54" s="8" t="s">
        <v>140</v>
      </c>
      <c r="B54" s="5" t="s">
        <v>88</v>
      </c>
      <c r="C54" s="9">
        <v>0.539</v>
      </c>
      <c r="D54" s="7">
        <v>6.5</v>
      </c>
      <c r="E54" s="7">
        <f>+2.8</f>
        <v>2.8</v>
      </c>
    </row>
    <row r="55">
      <c r="A55" s="8" t="s">
        <v>124</v>
      </c>
      <c r="B55" s="5" t="s">
        <v>88</v>
      </c>
      <c r="C55" s="9">
        <v>0.539</v>
      </c>
      <c r="D55" s="7">
        <v>5.2</v>
      </c>
      <c r="E55" s="7">
        <v>-3.1</v>
      </c>
    </row>
    <row r="56">
      <c r="A56" s="8" t="s">
        <v>111</v>
      </c>
      <c r="B56" s="5" t="s">
        <v>88</v>
      </c>
      <c r="C56" s="9">
        <v>0.539</v>
      </c>
      <c r="D56" s="7">
        <v>5.6</v>
      </c>
      <c r="E56" s="7">
        <v>-1.7</v>
      </c>
    </row>
    <row r="57">
      <c r="A57" s="8" t="s">
        <v>151</v>
      </c>
      <c r="B57" s="5" t="s">
        <v>88</v>
      </c>
      <c r="C57" s="9">
        <v>0.539</v>
      </c>
      <c r="D57" s="7">
        <v>0.1</v>
      </c>
      <c r="E57" s="7">
        <f>+1.2</f>
        <v>1.2</v>
      </c>
    </row>
    <row r="58">
      <c r="A58" s="8" t="s">
        <v>55</v>
      </c>
      <c r="B58" s="5" t="s">
        <v>88</v>
      </c>
      <c r="C58" s="9">
        <v>0.539</v>
      </c>
      <c r="D58" s="7">
        <v>3.0</v>
      </c>
      <c r="E58" s="7">
        <v>-3.8</v>
      </c>
    </row>
    <row r="59">
      <c r="A59" s="8" t="s">
        <v>56</v>
      </c>
      <c r="B59" s="5" t="s">
        <v>88</v>
      </c>
      <c r="C59" s="9">
        <v>0.539</v>
      </c>
      <c r="D59" s="7">
        <v>3.7</v>
      </c>
      <c r="E59" s="7">
        <v>-2.2</v>
      </c>
    </row>
    <row r="60">
      <c r="A60" s="8" t="s">
        <v>14</v>
      </c>
      <c r="B60" s="5" t="s">
        <v>88</v>
      </c>
      <c r="C60" s="9">
        <v>0.539</v>
      </c>
      <c r="D60" s="7">
        <v>10.9</v>
      </c>
      <c r="E60" s="7">
        <v>-0.3</v>
      </c>
    </row>
    <row r="61">
      <c r="A61" s="8" t="s">
        <v>62</v>
      </c>
      <c r="B61" s="5" t="s">
        <v>88</v>
      </c>
      <c r="C61" s="9">
        <v>0.539</v>
      </c>
      <c r="D61" s="7">
        <v>1.8</v>
      </c>
      <c r="E61" s="7">
        <f>+2.2</f>
        <v>2.2</v>
      </c>
    </row>
    <row r="62">
      <c r="A62" s="8" t="s">
        <v>94</v>
      </c>
      <c r="B62" s="5" t="s">
        <v>88</v>
      </c>
      <c r="C62" s="9">
        <v>0.539</v>
      </c>
      <c r="D62" s="7">
        <v>5.7</v>
      </c>
      <c r="E62" s="7">
        <f>+2.5</f>
        <v>2.5</v>
      </c>
    </row>
    <row r="63">
      <c r="A63" s="8" t="s">
        <v>129</v>
      </c>
      <c r="B63" s="5" t="s">
        <v>88</v>
      </c>
      <c r="C63" s="9">
        <v>0.539</v>
      </c>
      <c r="D63" s="7">
        <v>6.5</v>
      </c>
      <c r="E63" s="7">
        <v>-0.4</v>
      </c>
    </row>
    <row r="64">
      <c r="A64" s="8" t="s">
        <v>63</v>
      </c>
      <c r="B64" s="5" t="s">
        <v>88</v>
      </c>
      <c r="C64" s="9">
        <v>0.539</v>
      </c>
      <c r="D64" s="7">
        <v>-2.5</v>
      </c>
      <c r="E64" s="7">
        <f>+0.1</f>
        <v>0.1</v>
      </c>
    </row>
    <row r="65">
      <c r="A65" s="8" t="s">
        <v>80</v>
      </c>
      <c r="B65" s="5" t="s">
        <v>88</v>
      </c>
      <c r="C65" s="9">
        <v>0.539</v>
      </c>
      <c r="D65" s="7">
        <v>4.2</v>
      </c>
      <c r="E65" s="7">
        <f>+2</f>
        <v>2</v>
      </c>
    </row>
    <row r="66">
      <c r="A66" s="8" t="s">
        <v>132</v>
      </c>
      <c r="B66" s="5" t="s">
        <v>88</v>
      </c>
      <c r="C66" s="9">
        <v>0.539</v>
      </c>
      <c r="D66" s="7">
        <v>3.2</v>
      </c>
      <c r="E66" s="7">
        <v>-0.9</v>
      </c>
    </row>
    <row r="67">
      <c r="A67" s="8" t="s">
        <v>118</v>
      </c>
      <c r="B67" s="5" t="s">
        <v>90</v>
      </c>
      <c r="C67" s="9">
        <v>0.5</v>
      </c>
      <c r="D67" s="7">
        <v>-3.1</v>
      </c>
      <c r="E67" s="7">
        <f>+2.2</f>
        <v>2.2</v>
      </c>
    </row>
    <row r="68">
      <c r="A68" s="8" t="s">
        <v>120</v>
      </c>
      <c r="B68" s="5" t="s">
        <v>90</v>
      </c>
      <c r="C68" s="9">
        <v>0.5</v>
      </c>
      <c r="D68" s="7">
        <v>-9.3</v>
      </c>
      <c r="E68" s="7">
        <f>+1.7</f>
        <v>1.7</v>
      </c>
    </row>
    <row r="69">
      <c r="A69" s="8" t="s">
        <v>25</v>
      </c>
      <c r="B69" s="5" t="s">
        <v>90</v>
      </c>
      <c r="C69" s="9">
        <v>0.5</v>
      </c>
      <c r="D69" s="7">
        <v>6.4</v>
      </c>
      <c r="E69" s="7">
        <f>+5.1</f>
        <v>5.1</v>
      </c>
    </row>
    <row r="70">
      <c r="A70" s="8" t="s">
        <v>52</v>
      </c>
      <c r="B70" s="5" t="s">
        <v>261</v>
      </c>
      <c r="C70" s="9">
        <v>0.462</v>
      </c>
      <c r="D70" s="7">
        <v>2.4</v>
      </c>
      <c r="E70" s="7">
        <v>-4.1</v>
      </c>
    </row>
    <row r="71">
      <c r="A71" s="8" t="s">
        <v>22</v>
      </c>
      <c r="B71" s="5" t="s">
        <v>261</v>
      </c>
      <c r="C71" s="9">
        <v>0.462</v>
      </c>
      <c r="D71" s="7">
        <v>5.1</v>
      </c>
      <c r="E71" s="7">
        <f>+8</f>
        <v>8</v>
      </c>
    </row>
    <row r="72">
      <c r="A72" s="8" t="s">
        <v>9</v>
      </c>
      <c r="B72" s="5" t="s">
        <v>261</v>
      </c>
      <c r="C72" s="9">
        <v>0.462</v>
      </c>
      <c r="D72" s="7">
        <v>3.5</v>
      </c>
      <c r="E72" s="7">
        <v>-2.3</v>
      </c>
    </row>
    <row r="73">
      <c r="A73" s="8" t="s">
        <v>89</v>
      </c>
      <c r="B73" s="5" t="s">
        <v>261</v>
      </c>
      <c r="C73" s="9">
        <v>0.462</v>
      </c>
      <c r="D73" s="7">
        <v>1.2</v>
      </c>
      <c r="E73" s="7">
        <v>0.0</v>
      </c>
    </row>
    <row r="74">
      <c r="A74" s="8" t="s">
        <v>57</v>
      </c>
      <c r="B74" s="5" t="s">
        <v>261</v>
      </c>
      <c r="C74" s="9">
        <v>0.462</v>
      </c>
      <c r="D74" s="7">
        <v>-6.7</v>
      </c>
      <c r="E74" s="7">
        <f>+3.4</f>
        <v>3.4</v>
      </c>
    </row>
    <row r="75">
      <c r="A75" s="8" t="s">
        <v>64</v>
      </c>
      <c r="B75" s="5" t="s">
        <v>261</v>
      </c>
      <c r="C75" s="9">
        <v>0.462</v>
      </c>
      <c r="D75" s="7">
        <v>4.5</v>
      </c>
      <c r="E75" s="7">
        <v>-0.1</v>
      </c>
    </row>
    <row r="76">
      <c r="A76" s="8" t="s">
        <v>65</v>
      </c>
      <c r="B76" s="5" t="s">
        <v>261</v>
      </c>
      <c r="C76" s="9">
        <v>0.462</v>
      </c>
      <c r="D76" s="7">
        <v>-1.4</v>
      </c>
      <c r="E76" s="7">
        <f>+0.2</f>
        <v>0.2</v>
      </c>
    </row>
    <row r="77">
      <c r="A77" s="8" t="s">
        <v>66</v>
      </c>
      <c r="B77" s="5" t="s">
        <v>261</v>
      </c>
      <c r="C77" s="9">
        <v>0.462</v>
      </c>
      <c r="D77" s="7">
        <v>1.4</v>
      </c>
      <c r="E77" s="7">
        <v>-3.9</v>
      </c>
    </row>
    <row r="78">
      <c r="A78" s="8" t="s">
        <v>145</v>
      </c>
      <c r="B78" s="5" t="s">
        <v>405</v>
      </c>
      <c r="C78" s="9">
        <v>0.429</v>
      </c>
      <c r="D78" s="7">
        <v>-8.3</v>
      </c>
      <c r="E78" s="7">
        <v>-3.3</v>
      </c>
    </row>
    <row r="79">
      <c r="A79" s="8" t="s">
        <v>121</v>
      </c>
      <c r="B79" s="5" t="s">
        <v>103</v>
      </c>
      <c r="C79" s="9">
        <v>0.417</v>
      </c>
      <c r="D79" s="7">
        <v>-2.3</v>
      </c>
      <c r="E79" s="7">
        <v>-0.3</v>
      </c>
    </row>
    <row r="80">
      <c r="A80" s="8" t="s">
        <v>106</v>
      </c>
      <c r="B80" s="5" t="s">
        <v>103</v>
      </c>
      <c r="C80" s="9">
        <v>0.417</v>
      </c>
      <c r="D80" s="7">
        <v>8.8</v>
      </c>
      <c r="E80" s="7">
        <v>-1.6</v>
      </c>
    </row>
    <row r="81">
      <c r="A81" s="8" t="s">
        <v>107</v>
      </c>
      <c r="B81" s="5" t="s">
        <v>103</v>
      </c>
      <c r="C81" s="9">
        <v>0.417</v>
      </c>
      <c r="D81" s="7">
        <v>-7.2</v>
      </c>
      <c r="E81" s="7">
        <v>-0.8</v>
      </c>
    </row>
    <row r="82">
      <c r="A82" s="8" t="s">
        <v>141</v>
      </c>
      <c r="B82" s="5" t="s">
        <v>103</v>
      </c>
      <c r="C82" s="9">
        <v>0.417</v>
      </c>
      <c r="D82" s="7">
        <v>-5.8</v>
      </c>
      <c r="E82" s="7">
        <f>+1.9</f>
        <v>1.9</v>
      </c>
    </row>
    <row r="83">
      <c r="A83" s="8" t="s">
        <v>148</v>
      </c>
      <c r="B83" s="5" t="s">
        <v>103</v>
      </c>
      <c r="C83" s="9">
        <v>0.417</v>
      </c>
      <c r="D83" s="7">
        <v>-3.8</v>
      </c>
      <c r="E83" s="7">
        <f>+2</f>
        <v>2</v>
      </c>
    </row>
    <row r="84">
      <c r="A84" s="8" t="s">
        <v>26</v>
      </c>
      <c r="B84" s="5" t="s">
        <v>103</v>
      </c>
      <c r="C84" s="9">
        <v>0.417</v>
      </c>
      <c r="D84" s="7">
        <v>0.8</v>
      </c>
      <c r="E84" s="7">
        <f>+0.2</f>
        <v>0.2</v>
      </c>
    </row>
    <row r="85">
      <c r="A85" s="8" t="s">
        <v>109</v>
      </c>
      <c r="B85" s="5" t="s">
        <v>103</v>
      </c>
      <c r="C85" s="9">
        <v>0.417</v>
      </c>
      <c r="D85" s="7">
        <v>-8.8</v>
      </c>
      <c r="E85" s="7">
        <v>-1.3</v>
      </c>
    </row>
    <row r="86">
      <c r="A86" s="8" t="s">
        <v>54</v>
      </c>
      <c r="B86" s="5" t="s">
        <v>103</v>
      </c>
      <c r="C86" s="9">
        <v>0.417</v>
      </c>
      <c r="D86" s="7">
        <v>-2.3</v>
      </c>
      <c r="E86" s="7">
        <v>-0.8</v>
      </c>
    </row>
    <row r="87">
      <c r="A87" s="8" t="s">
        <v>10</v>
      </c>
      <c r="B87" s="5" t="s">
        <v>103</v>
      </c>
      <c r="C87" s="9">
        <v>0.417</v>
      </c>
      <c r="D87" s="7">
        <v>-5.4</v>
      </c>
      <c r="E87" s="7">
        <v>-5.6</v>
      </c>
    </row>
    <row r="88">
      <c r="A88" s="8" t="s">
        <v>59</v>
      </c>
      <c r="B88" s="5" t="s">
        <v>103</v>
      </c>
      <c r="C88" s="9">
        <v>0.417</v>
      </c>
      <c r="D88" s="7">
        <v>-6.0</v>
      </c>
      <c r="E88" s="7">
        <v>-2.2</v>
      </c>
    </row>
    <row r="89">
      <c r="A89" s="8" t="s">
        <v>37</v>
      </c>
      <c r="B89" s="5" t="s">
        <v>103</v>
      </c>
      <c r="C89" s="9">
        <v>0.417</v>
      </c>
      <c r="D89" s="7">
        <v>6.6</v>
      </c>
      <c r="E89" s="7">
        <v>-1.9</v>
      </c>
    </row>
    <row r="90">
      <c r="A90" s="8" t="s">
        <v>18</v>
      </c>
      <c r="B90" s="5" t="s">
        <v>103</v>
      </c>
      <c r="C90" s="9">
        <v>0.417</v>
      </c>
      <c r="D90" s="7">
        <v>-5.8</v>
      </c>
      <c r="E90" s="7">
        <f>+6.1</f>
        <v>6.1</v>
      </c>
    </row>
    <row r="91">
      <c r="A91" s="8" t="s">
        <v>43</v>
      </c>
      <c r="B91" s="5" t="s">
        <v>103</v>
      </c>
      <c r="C91" s="9">
        <v>0.417</v>
      </c>
      <c r="D91" s="7">
        <v>-0.1</v>
      </c>
      <c r="E91" s="7">
        <v>-0.6</v>
      </c>
    </row>
    <row r="92">
      <c r="A92" s="8" t="s">
        <v>147</v>
      </c>
      <c r="B92" s="5" t="s">
        <v>103</v>
      </c>
      <c r="C92" s="9">
        <v>0.417</v>
      </c>
      <c r="D92" s="7">
        <v>-4.3</v>
      </c>
      <c r="E92" s="7">
        <v>-4.1</v>
      </c>
    </row>
    <row r="93">
      <c r="A93" s="8" t="s">
        <v>87</v>
      </c>
      <c r="B93" s="5" t="s">
        <v>119</v>
      </c>
      <c r="C93" s="9">
        <v>0.333</v>
      </c>
      <c r="D93" s="7">
        <v>-1.6</v>
      </c>
      <c r="E93" s="7">
        <f>+3</f>
        <v>3</v>
      </c>
    </row>
    <row r="94">
      <c r="A94" s="8" t="s">
        <v>108</v>
      </c>
      <c r="B94" s="5" t="s">
        <v>119</v>
      </c>
      <c r="C94" s="9">
        <v>0.333</v>
      </c>
      <c r="D94" s="7">
        <v>-10.0</v>
      </c>
      <c r="E94" s="7">
        <v>-1.8</v>
      </c>
    </row>
    <row r="95">
      <c r="A95" s="8" t="s">
        <v>143</v>
      </c>
      <c r="B95" s="5" t="s">
        <v>119</v>
      </c>
      <c r="C95" s="9">
        <v>0.333</v>
      </c>
      <c r="D95" s="7">
        <v>-0.8</v>
      </c>
      <c r="E95" s="7">
        <f>+3</f>
        <v>3</v>
      </c>
    </row>
    <row r="96">
      <c r="A96" s="8" t="s">
        <v>96</v>
      </c>
      <c r="B96" s="5" t="s">
        <v>119</v>
      </c>
      <c r="C96" s="9">
        <v>0.333</v>
      </c>
      <c r="D96" s="7">
        <v>-1.9</v>
      </c>
      <c r="E96" s="7">
        <f>+2.8</f>
        <v>2.8</v>
      </c>
    </row>
    <row r="97">
      <c r="A97" s="8" t="s">
        <v>40</v>
      </c>
      <c r="B97" s="5" t="s">
        <v>119</v>
      </c>
      <c r="C97" s="9">
        <v>0.333</v>
      </c>
      <c r="D97" s="7">
        <v>-4.7</v>
      </c>
      <c r="E97" s="7">
        <v>-4.3</v>
      </c>
    </row>
    <row r="98">
      <c r="A98" s="8" t="s">
        <v>154</v>
      </c>
      <c r="B98" s="5" t="s">
        <v>119</v>
      </c>
      <c r="C98" s="9">
        <v>0.333</v>
      </c>
      <c r="D98" s="7">
        <v>-5.3</v>
      </c>
      <c r="E98" s="7">
        <f>+1.9</f>
        <v>1.9</v>
      </c>
    </row>
    <row r="99">
      <c r="A99" s="8" t="s">
        <v>53</v>
      </c>
      <c r="B99" s="5" t="s">
        <v>399</v>
      </c>
      <c r="C99" s="9">
        <v>0.308</v>
      </c>
      <c r="D99" s="7">
        <v>-6.6</v>
      </c>
      <c r="E99" s="7">
        <v>-3.7</v>
      </c>
    </row>
    <row r="100">
      <c r="A100" s="8" t="s">
        <v>128</v>
      </c>
      <c r="B100" s="5" t="s">
        <v>399</v>
      </c>
      <c r="C100" s="9">
        <v>0.308</v>
      </c>
      <c r="D100" s="7">
        <v>-12.2</v>
      </c>
      <c r="E100" s="7">
        <f>+1.5</f>
        <v>1.5</v>
      </c>
    </row>
    <row r="101">
      <c r="A101" s="8" t="s">
        <v>72</v>
      </c>
      <c r="B101" s="5" t="s">
        <v>139</v>
      </c>
      <c r="C101" s="9">
        <v>0.25</v>
      </c>
      <c r="D101" s="7">
        <v>-10.8</v>
      </c>
      <c r="E101" s="7">
        <v>-6.7</v>
      </c>
    </row>
    <row r="102">
      <c r="A102" s="8" t="s">
        <v>104</v>
      </c>
      <c r="B102" s="5" t="s">
        <v>139</v>
      </c>
      <c r="C102" s="9">
        <v>0.25</v>
      </c>
      <c r="D102" s="7">
        <v>-7.3</v>
      </c>
      <c r="E102" s="7">
        <f>+1.2</f>
        <v>1.2</v>
      </c>
    </row>
    <row r="103">
      <c r="A103" s="8" t="s">
        <v>76</v>
      </c>
      <c r="B103" s="5" t="s">
        <v>139</v>
      </c>
      <c r="C103" s="9">
        <v>0.25</v>
      </c>
      <c r="D103" s="7">
        <v>-13.3</v>
      </c>
      <c r="E103" s="7">
        <v>-1.1</v>
      </c>
    </row>
    <row r="104">
      <c r="A104" s="8" t="s">
        <v>127</v>
      </c>
      <c r="B104" s="5" t="s">
        <v>139</v>
      </c>
      <c r="C104" s="9">
        <v>0.25</v>
      </c>
      <c r="D104" s="7">
        <v>-16.6</v>
      </c>
      <c r="E104" s="7">
        <v>-4.1</v>
      </c>
    </row>
    <row r="105">
      <c r="A105" s="8" t="s">
        <v>85</v>
      </c>
      <c r="B105" s="5" t="s">
        <v>139</v>
      </c>
      <c r="C105" s="9">
        <v>0.25</v>
      </c>
      <c r="D105" s="7">
        <v>-3.4</v>
      </c>
      <c r="E105" s="7">
        <v>-0.4</v>
      </c>
    </row>
    <row r="106">
      <c r="A106" s="8" t="s">
        <v>68</v>
      </c>
      <c r="B106" s="5" t="s">
        <v>139</v>
      </c>
      <c r="C106" s="9">
        <v>0.25</v>
      </c>
      <c r="D106" s="7">
        <v>-11.3</v>
      </c>
      <c r="E106" s="7">
        <v>-10.3</v>
      </c>
    </row>
    <row r="107">
      <c r="A107" s="8" t="s">
        <v>152</v>
      </c>
      <c r="B107" s="5" t="s">
        <v>139</v>
      </c>
      <c r="C107" s="9">
        <v>0.25</v>
      </c>
      <c r="D107" s="7">
        <v>-9.8</v>
      </c>
      <c r="E107" s="7">
        <v>-1.9</v>
      </c>
    </row>
    <row r="108">
      <c r="A108" s="8" t="s">
        <v>153</v>
      </c>
      <c r="B108" s="5" t="s">
        <v>139</v>
      </c>
      <c r="C108" s="9">
        <v>0.25</v>
      </c>
      <c r="D108" s="7">
        <v>-9.0</v>
      </c>
      <c r="E108" s="7">
        <v>-3.3</v>
      </c>
    </row>
    <row r="109">
      <c r="A109" s="8" t="s">
        <v>70</v>
      </c>
      <c r="B109" s="5" t="s">
        <v>139</v>
      </c>
      <c r="C109" s="9">
        <v>0.25</v>
      </c>
      <c r="D109" s="7">
        <v>-8.7</v>
      </c>
      <c r="E109" s="7">
        <v>-1.5</v>
      </c>
    </row>
    <row r="110">
      <c r="A110" s="8" t="s">
        <v>142</v>
      </c>
      <c r="B110" s="5" t="s">
        <v>325</v>
      </c>
      <c r="C110" s="9">
        <v>0.231</v>
      </c>
      <c r="D110" s="7">
        <v>-16.8</v>
      </c>
      <c r="E110" s="7">
        <v>-1.9</v>
      </c>
    </row>
    <row r="111">
      <c r="A111" s="8" t="s">
        <v>12</v>
      </c>
      <c r="B111" s="5" t="s">
        <v>149</v>
      </c>
      <c r="C111" s="9">
        <v>0.167</v>
      </c>
      <c r="D111" s="7">
        <v>-16.0</v>
      </c>
      <c r="E111" s="7">
        <v>-8.2</v>
      </c>
    </row>
    <row r="112">
      <c r="A112" s="8" t="s">
        <v>112</v>
      </c>
      <c r="B112" s="5" t="s">
        <v>149</v>
      </c>
      <c r="C112" s="9">
        <v>0.167</v>
      </c>
      <c r="D112" s="7">
        <v>-21.4</v>
      </c>
      <c r="E112" s="7">
        <v>-4.0</v>
      </c>
    </row>
    <row r="113">
      <c r="A113" s="8" t="s">
        <v>61</v>
      </c>
      <c r="B113" s="5" t="s">
        <v>149</v>
      </c>
      <c r="C113" s="9">
        <v>0.167</v>
      </c>
      <c r="D113" s="7">
        <v>-18.8</v>
      </c>
      <c r="E113" s="7">
        <v>-1.3</v>
      </c>
    </row>
    <row r="114">
      <c r="A114" s="8" t="s">
        <v>144</v>
      </c>
      <c r="B114" s="5" t="s">
        <v>149</v>
      </c>
      <c r="C114" s="9">
        <v>0.167</v>
      </c>
      <c r="D114" s="7">
        <v>-14.5</v>
      </c>
      <c r="E114" s="7">
        <v>-10.3</v>
      </c>
    </row>
    <row r="115">
      <c r="A115" s="8" t="s">
        <v>30</v>
      </c>
      <c r="B115" s="5" t="s">
        <v>149</v>
      </c>
      <c r="C115" s="9">
        <v>0.167</v>
      </c>
      <c r="D115" s="7">
        <v>-23.2</v>
      </c>
      <c r="E115" s="7">
        <v>-6.2</v>
      </c>
    </row>
    <row r="116">
      <c r="A116" s="8" t="s">
        <v>133</v>
      </c>
      <c r="B116" s="5" t="s">
        <v>149</v>
      </c>
      <c r="C116" s="9">
        <v>0.167</v>
      </c>
      <c r="D116" s="7">
        <v>-11.2</v>
      </c>
      <c r="E116" s="7">
        <v>-7.6</v>
      </c>
    </row>
    <row r="117">
      <c r="A117" s="8" t="s">
        <v>16</v>
      </c>
      <c r="B117" s="5" t="s">
        <v>396</v>
      </c>
      <c r="C117" s="9">
        <v>0.154</v>
      </c>
      <c r="D117" s="7">
        <v>-16.4</v>
      </c>
      <c r="E117" s="7">
        <v>-6.4</v>
      </c>
    </row>
    <row r="118">
      <c r="A118" s="8" t="s">
        <v>102</v>
      </c>
      <c r="B118" s="5" t="s">
        <v>157</v>
      </c>
      <c r="C118" s="9">
        <v>0.083</v>
      </c>
      <c r="D118" s="7">
        <v>-24.3</v>
      </c>
      <c r="E118" s="7">
        <v>-10.3</v>
      </c>
    </row>
    <row r="119">
      <c r="A119" s="8" t="s">
        <v>5</v>
      </c>
      <c r="B119" s="5" t="s">
        <v>157</v>
      </c>
      <c r="C119" s="9">
        <v>0.083</v>
      </c>
      <c r="D119" s="7">
        <v>-15.9</v>
      </c>
      <c r="E119" s="7">
        <v>-4.1</v>
      </c>
    </row>
    <row r="120">
      <c r="A120" s="8" t="s">
        <v>38</v>
      </c>
      <c r="B120" s="5" t="s">
        <v>157</v>
      </c>
      <c r="C120" s="9">
        <v>0.083</v>
      </c>
      <c r="D120" s="7">
        <v>-29.7</v>
      </c>
      <c r="E120" s="7">
        <v>-6.2</v>
      </c>
    </row>
    <row r="121">
      <c r="A121" s="8" t="s">
        <v>135</v>
      </c>
      <c r="B121" s="5" t="s">
        <v>157</v>
      </c>
      <c r="C121" s="9">
        <v>0.083</v>
      </c>
      <c r="D121" s="7">
        <v>-21.8</v>
      </c>
      <c r="E121" s="7">
        <v>-8.1</v>
      </c>
    </row>
    <row r="122">
      <c r="A122" s="8" t="s">
        <v>160</v>
      </c>
      <c r="B122" s="5" t="s">
        <v>338</v>
      </c>
      <c r="C122" s="9">
        <v>0.0</v>
      </c>
      <c r="D122" s="7">
        <v>-28.0</v>
      </c>
      <c r="E122" s="7">
        <v>-19.0</v>
      </c>
    </row>
    <row r="123">
      <c r="A123" s="8" t="s">
        <v>117</v>
      </c>
      <c r="B123" s="5" t="s">
        <v>338</v>
      </c>
      <c r="C123" s="9">
        <v>0.0</v>
      </c>
      <c r="D123" s="7">
        <v>-53.0</v>
      </c>
      <c r="E123" s="7">
        <v>-47.0</v>
      </c>
    </row>
    <row r="124">
      <c r="A124" s="8" t="s">
        <v>97</v>
      </c>
      <c r="B124" s="5" t="s">
        <v>338</v>
      </c>
      <c r="C124" s="9">
        <v>0.0</v>
      </c>
      <c r="D124" s="7">
        <v>-23.0</v>
      </c>
      <c r="E124" s="7">
        <v>-15.5</v>
      </c>
    </row>
    <row r="125">
      <c r="A125" s="8" t="s">
        <v>11</v>
      </c>
      <c r="B125" s="5" t="s">
        <v>338</v>
      </c>
      <c r="C125" s="9">
        <v>0.0</v>
      </c>
      <c r="D125" s="7">
        <v>-32.0</v>
      </c>
      <c r="E125" s="7">
        <v>-14.0</v>
      </c>
    </row>
    <row r="126">
      <c r="A126" s="8" t="s">
        <v>98</v>
      </c>
      <c r="B126" s="5" t="s">
        <v>401</v>
      </c>
      <c r="C126" s="9">
        <v>0.0</v>
      </c>
      <c r="D126" s="7">
        <v>-37.5</v>
      </c>
      <c r="E126" s="7">
        <v>-8.3</v>
      </c>
    </row>
    <row r="127">
      <c r="A127" s="8" t="s">
        <v>99</v>
      </c>
      <c r="B127" s="5" t="s">
        <v>338</v>
      </c>
      <c r="C127" s="9">
        <v>0.0</v>
      </c>
      <c r="D127" s="7">
        <v>-24.0</v>
      </c>
      <c r="E127" s="7">
        <f>+18.5</f>
        <v>18.5</v>
      </c>
    </row>
    <row r="128">
      <c r="A128" s="8" t="s">
        <v>136</v>
      </c>
      <c r="B128" s="5" t="s">
        <v>338</v>
      </c>
      <c r="C128" s="9">
        <v>0.0</v>
      </c>
      <c r="D128" s="7">
        <v>-22.0</v>
      </c>
      <c r="E128" s="7">
        <f>+5</f>
        <v>5</v>
      </c>
    </row>
    <row r="129">
      <c r="A129" s="8" t="s">
        <v>71</v>
      </c>
      <c r="B129" s="5" t="s">
        <v>338</v>
      </c>
      <c r="C129" s="9">
        <v>0.0</v>
      </c>
      <c r="D129" s="7">
        <v>-24.0</v>
      </c>
      <c r="E129" s="7">
        <v>-14.0</v>
      </c>
    </row>
    <row r="130">
      <c r="A130" s="8" t="s">
        <v>100</v>
      </c>
      <c r="B130" s="5" t="s">
        <v>338</v>
      </c>
      <c r="C130" s="9">
        <v>0.0</v>
      </c>
      <c r="D130" s="7">
        <v>-59.0</v>
      </c>
      <c r="E130" s="7">
        <v>-20.0</v>
      </c>
    </row>
    <row r="131">
      <c r="A131" s="8" t="s">
        <v>84</v>
      </c>
      <c r="B131" s="5" t="s">
        <v>401</v>
      </c>
      <c r="C131" s="9">
        <v>0.0</v>
      </c>
      <c r="D131" s="7">
        <v>-46.5</v>
      </c>
      <c r="E131" s="7">
        <v>-12.0</v>
      </c>
    </row>
    <row r="132">
      <c r="A132" s="8" t="s">
        <v>158</v>
      </c>
      <c r="B132" s="5" t="s">
        <v>338</v>
      </c>
      <c r="C132" s="9">
        <v>0.0</v>
      </c>
      <c r="D132" s="7">
        <v>-56.0</v>
      </c>
      <c r="E132" s="7">
        <v>-20.5</v>
      </c>
    </row>
    <row r="133">
      <c r="A133" s="8" t="s">
        <v>137</v>
      </c>
      <c r="B133" s="5" t="s">
        <v>401</v>
      </c>
      <c r="C133" s="9">
        <v>0.0</v>
      </c>
      <c r="D133" s="7">
        <v>-15.0</v>
      </c>
      <c r="E133" s="7">
        <f>+2.5</f>
        <v>2.5</v>
      </c>
    </row>
    <row r="134">
      <c r="A134" s="8" t="s">
        <v>84</v>
      </c>
      <c r="B134" s="5" t="s">
        <v>338</v>
      </c>
      <c r="C134" s="9">
        <v>0.0</v>
      </c>
      <c r="D134" s="7">
        <v>-14.0</v>
      </c>
      <c r="E134" s="7">
        <f>+10</f>
        <v>10</v>
      </c>
    </row>
    <row r="135">
      <c r="A135" s="8" t="s">
        <v>158</v>
      </c>
      <c r="B135" s="5" t="s">
        <v>161</v>
      </c>
      <c r="C135" s="9">
        <v>0.0</v>
      </c>
      <c r="D135" s="7">
        <v>-17.9</v>
      </c>
      <c r="E135" s="4">
        <f>+1.9</f>
        <v>1.9</v>
      </c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</hyperlinks>
  <drawing r:id="rId13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5" t="s">
        <v>1</v>
      </c>
      <c r="C1" s="7" t="s">
        <v>2</v>
      </c>
      <c r="D1" s="7" t="s">
        <v>3</v>
      </c>
      <c r="E1" s="7" t="s">
        <v>4</v>
      </c>
    </row>
    <row r="2">
      <c r="A2" s="8" t="s">
        <v>110</v>
      </c>
      <c r="B2" s="5" t="s">
        <v>406</v>
      </c>
      <c r="C2" s="9">
        <v>1.0</v>
      </c>
      <c r="D2" s="7">
        <v>17.1</v>
      </c>
      <c r="E2" s="7">
        <f>+6.6</f>
        <v>6.6</v>
      </c>
    </row>
    <row r="3">
      <c r="A3" s="8" t="s">
        <v>60</v>
      </c>
      <c r="B3" s="5" t="s">
        <v>6</v>
      </c>
      <c r="C3" s="9">
        <v>1.0</v>
      </c>
      <c r="D3" s="7">
        <v>29.6</v>
      </c>
      <c r="E3" s="7">
        <f>+4.1</f>
        <v>4.1</v>
      </c>
    </row>
    <row r="4">
      <c r="A4" s="8" t="s">
        <v>11</v>
      </c>
      <c r="B4" s="5" t="s">
        <v>344</v>
      </c>
      <c r="C4" s="9">
        <v>1.0</v>
      </c>
      <c r="D4" s="7">
        <v>5.0</v>
      </c>
      <c r="E4" s="7">
        <f>+38</f>
        <v>38</v>
      </c>
    </row>
    <row r="5">
      <c r="A5" s="8" t="s">
        <v>136</v>
      </c>
      <c r="B5" s="5" t="s">
        <v>344</v>
      </c>
      <c r="C5" s="9">
        <v>1.0</v>
      </c>
      <c r="D5" s="7">
        <v>4.0</v>
      </c>
      <c r="E5" s="7">
        <f>+17.5</f>
        <v>17.5</v>
      </c>
    </row>
    <row r="6">
      <c r="A6" s="8" t="s">
        <v>71</v>
      </c>
      <c r="B6" s="5" t="s">
        <v>344</v>
      </c>
      <c r="C6" s="9">
        <v>1.0</v>
      </c>
      <c r="D6" s="7">
        <v>1.0</v>
      </c>
      <c r="E6" s="7">
        <f>+30.5</f>
        <v>30.5</v>
      </c>
    </row>
    <row r="7">
      <c r="A7" s="8" t="s">
        <v>140</v>
      </c>
      <c r="B7" s="5" t="s">
        <v>162</v>
      </c>
      <c r="C7" s="9">
        <v>0.929</v>
      </c>
      <c r="D7" s="7">
        <v>19.6</v>
      </c>
      <c r="E7" s="7">
        <f>+4.8</f>
        <v>4.8</v>
      </c>
    </row>
    <row r="8">
      <c r="A8" s="8" t="s">
        <v>47</v>
      </c>
      <c r="B8" s="5" t="s">
        <v>8</v>
      </c>
      <c r="C8" s="9">
        <v>0.923</v>
      </c>
      <c r="D8" s="7">
        <v>32.3</v>
      </c>
      <c r="E8" s="4">
        <f>+5.5</f>
        <v>5.5</v>
      </c>
    </row>
    <row r="9">
      <c r="A9" s="8" t="s">
        <v>9</v>
      </c>
      <c r="B9" s="5" t="s">
        <v>8</v>
      </c>
      <c r="C9" s="9">
        <v>0.923</v>
      </c>
      <c r="D9" s="7">
        <v>24.5</v>
      </c>
      <c r="E9" s="7">
        <f>+5.7</f>
        <v>5.7</v>
      </c>
    </row>
    <row r="10">
      <c r="A10" s="8" t="s">
        <v>131</v>
      </c>
      <c r="B10" s="5" t="s">
        <v>8</v>
      </c>
      <c r="C10" s="9">
        <v>0.923</v>
      </c>
      <c r="D10" s="7">
        <v>22.9</v>
      </c>
      <c r="E10" s="7">
        <f>+11.4</f>
        <v>11.4</v>
      </c>
    </row>
    <row r="11">
      <c r="A11" s="8" t="s">
        <v>15</v>
      </c>
      <c r="B11" s="5" t="s">
        <v>8</v>
      </c>
      <c r="C11" s="9">
        <v>0.923</v>
      </c>
      <c r="D11" s="7">
        <v>28.3</v>
      </c>
      <c r="E11" s="7">
        <f>+7.7</f>
        <v>7.7</v>
      </c>
    </row>
    <row r="12">
      <c r="A12" s="8" t="s">
        <v>23</v>
      </c>
      <c r="B12" s="5" t="s">
        <v>170</v>
      </c>
      <c r="C12" s="9">
        <v>0.857</v>
      </c>
      <c r="D12" s="7">
        <v>15.4</v>
      </c>
      <c r="E12" s="7">
        <f>+3.5</f>
        <v>3.5</v>
      </c>
    </row>
    <row r="13">
      <c r="A13" s="8" t="s">
        <v>75</v>
      </c>
      <c r="B13" s="5" t="s">
        <v>17</v>
      </c>
      <c r="C13" s="9">
        <v>0.846</v>
      </c>
      <c r="D13" s="7">
        <v>11.5</v>
      </c>
      <c r="E13" s="7">
        <f>+2.1</f>
        <v>2.1</v>
      </c>
    </row>
    <row r="14">
      <c r="A14" s="8" t="s">
        <v>125</v>
      </c>
      <c r="B14" s="5" t="s">
        <v>17</v>
      </c>
      <c r="C14" s="9">
        <v>0.846</v>
      </c>
      <c r="D14" s="7">
        <v>20.9</v>
      </c>
      <c r="E14" s="7">
        <f>+6.1</f>
        <v>6.1</v>
      </c>
    </row>
    <row r="15">
      <c r="A15" s="8" t="s">
        <v>126</v>
      </c>
      <c r="B15" s="5" t="s">
        <v>17</v>
      </c>
      <c r="C15" s="9">
        <v>0.846</v>
      </c>
      <c r="D15" s="7">
        <v>7.2</v>
      </c>
      <c r="E15" s="7">
        <v>-2.0</v>
      </c>
    </row>
    <row r="16">
      <c r="A16" s="8" t="s">
        <v>156</v>
      </c>
      <c r="B16" s="5" t="s">
        <v>17</v>
      </c>
      <c r="C16" s="9">
        <v>0.846</v>
      </c>
      <c r="D16" s="7">
        <v>17.8</v>
      </c>
      <c r="E16" s="7">
        <f t="shared" ref="E16:E17" si="1">+9.8</f>
        <v>9.8</v>
      </c>
    </row>
    <row r="17">
      <c r="A17" s="8" t="s">
        <v>138</v>
      </c>
      <c r="B17" s="5" t="s">
        <v>182</v>
      </c>
      <c r="C17" s="9">
        <v>0.786</v>
      </c>
      <c r="D17" s="7">
        <v>19.1</v>
      </c>
      <c r="E17" s="7">
        <f t="shared" si="1"/>
        <v>9.8</v>
      </c>
    </row>
    <row r="18">
      <c r="A18" s="8" t="s">
        <v>106</v>
      </c>
      <c r="B18" s="5" t="s">
        <v>182</v>
      </c>
      <c r="C18" s="9">
        <v>0.786</v>
      </c>
      <c r="D18" s="7">
        <v>14.9</v>
      </c>
      <c r="E18" s="7">
        <f>+4.9</f>
        <v>4.9</v>
      </c>
    </row>
    <row r="19">
      <c r="A19" s="8" t="s">
        <v>146</v>
      </c>
      <c r="B19" s="5" t="s">
        <v>182</v>
      </c>
      <c r="C19" s="9">
        <v>0.786</v>
      </c>
      <c r="D19" s="7">
        <v>13.3</v>
      </c>
      <c r="E19" s="7">
        <f>+0.9</f>
        <v>0.9</v>
      </c>
    </row>
    <row r="20">
      <c r="A20" s="8" t="s">
        <v>122</v>
      </c>
      <c r="B20" s="5" t="s">
        <v>29</v>
      </c>
      <c r="C20" s="9">
        <v>0.769</v>
      </c>
      <c r="D20" s="7">
        <v>11.1</v>
      </c>
      <c r="E20" s="7">
        <f>+5.5</f>
        <v>5.5</v>
      </c>
    </row>
    <row r="21">
      <c r="A21" s="8" t="s">
        <v>28</v>
      </c>
      <c r="B21" s="5" t="s">
        <v>29</v>
      </c>
      <c r="C21" s="9">
        <v>0.769</v>
      </c>
      <c r="D21" s="7">
        <v>22.2</v>
      </c>
      <c r="E21" s="7">
        <f>+6</f>
        <v>6</v>
      </c>
    </row>
    <row r="22">
      <c r="A22" s="8" t="s">
        <v>150</v>
      </c>
      <c r="B22" s="5" t="s">
        <v>29</v>
      </c>
      <c r="C22" s="9">
        <v>0.769</v>
      </c>
      <c r="D22" s="7">
        <v>13.1</v>
      </c>
      <c r="E22" s="4">
        <f>+2.6</f>
        <v>2.6</v>
      </c>
    </row>
    <row r="23">
      <c r="A23" s="8" t="s">
        <v>58</v>
      </c>
      <c r="B23" s="5" t="s">
        <v>29</v>
      </c>
      <c r="C23" s="9">
        <v>0.769</v>
      </c>
      <c r="D23" s="7">
        <v>13.8</v>
      </c>
      <c r="E23" s="7">
        <f>+2.9</f>
        <v>2.9</v>
      </c>
    </row>
    <row r="24">
      <c r="A24" s="8" t="s">
        <v>24</v>
      </c>
      <c r="B24" s="5" t="s">
        <v>29</v>
      </c>
      <c r="C24" s="9">
        <v>0.769</v>
      </c>
      <c r="D24" s="7">
        <v>12.8</v>
      </c>
      <c r="E24" s="7">
        <f>+2.5</f>
        <v>2.5</v>
      </c>
    </row>
    <row r="25">
      <c r="A25" s="8" t="s">
        <v>87</v>
      </c>
      <c r="B25" s="5" t="s">
        <v>203</v>
      </c>
      <c r="C25" s="9">
        <v>0.714</v>
      </c>
      <c r="D25" s="7">
        <v>-1.6</v>
      </c>
      <c r="E25" s="7">
        <f>+4.6</f>
        <v>4.6</v>
      </c>
    </row>
    <row r="26">
      <c r="A26" s="8" t="s">
        <v>52</v>
      </c>
      <c r="B26" s="5" t="s">
        <v>203</v>
      </c>
      <c r="C26" s="9">
        <v>0.714</v>
      </c>
      <c r="D26" s="7">
        <v>14.1</v>
      </c>
      <c r="E26" s="7">
        <f>+8.4</f>
        <v>8.4</v>
      </c>
    </row>
    <row r="27">
      <c r="A27" s="8" t="s">
        <v>77</v>
      </c>
      <c r="B27" s="5" t="s">
        <v>203</v>
      </c>
      <c r="C27" s="9">
        <v>0.714</v>
      </c>
      <c r="D27" s="7">
        <v>13.5</v>
      </c>
      <c r="E27" s="7">
        <v>-2.2</v>
      </c>
    </row>
    <row r="28">
      <c r="A28" s="8" t="s">
        <v>114</v>
      </c>
      <c r="B28" s="5" t="s">
        <v>203</v>
      </c>
      <c r="C28" s="9">
        <v>0.714</v>
      </c>
      <c r="D28" s="7">
        <v>11.7</v>
      </c>
      <c r="E28" s="7">
        <f>+4.4</f>
        <v>4.4</v>
      </c>
    </row>
    <row r="29">
      <c r="A29" s="8" t="s">
        <v>26</v>
      </c>
      <c r="B29" s="5" t="s">
        <v>46</v>
      </c>
      <c r="C29" s="9">
        <v>0.692</v>
      </c>
      <c r="D29" s="7">
        <v>6.4</v>
      </c>
      <c r="E29" s="7">
        <f>+1.1</f>
        <v>1.1</v>
      </c>
    </row>
    <row r="30">
      <c r="A30" s="8" t="s">
        <v>111</v>
      </c>
      <c r="B30" s="5" t="s">
        <v>46</v>
      </c>
      <c r="C30" s="9">
        <v>0.692</v>
      </c>
      <c r="D30" s="7">
        <v>9.2</v>
      </c>
      <c r="E30" s="7">
        <f>+4.1</f>
        <v>4.1</v>
      </c>
    </row>
    <row r="31">
      <c r="A31" s="8" t="s">
        <v>14</v>
      </c>
      <c r="B31" s="5" t="s">
        <v>46</v>
      </c>
      <c r="C31" s="9">
        <v>0.692</v>
      </c>
      <c r="D31" s="7">
        <v>9.3</v>
      </c>
      <c r="E31" s="7">
        <f>+2.3</f>
        <v>2.3</v>
      </c>
    </row>
    <row r="32">
      <c r="A32" s="8" t="s">
        <v>129</v>
      </c>
      <c r="B32" s="5" t="s">
        <v>46</v>
      </c>
      <c r="C32" s="9">
        <v>0.692</v>
      </c>
      <c r="D32" s="7">
        <v>9.8</v>
      </c>
      <c r="E32" s="7">
        <f>+0.7</f>
        <v>0.7</v>
      </c>
    </row>
    <row r="33">
      <c r="A33" s="8" t="s">
        <v>39</v>
      </c>
      <c r="B33" s="5" t="s">
        <v>46</v>
      </c>
      <c r="C33" s="9">
        <v>0.692</v>
      </c>
      <c r="D33" s="7">
        <v>12.9</v>
      </c>
      <c r="E33" s="7">
        <f>+5.8</f>
        <v>5.8</v>
      </c>
    </row>
    <row r="34">
      <c r="A34" s="8" t="s">
        <v>82</v>
      </c>
      <c r="B34" s="5" t="s">
        <v>46</v>
      </c>
      <c r="C34" s="9">
        <v>0.692</v>
      </c>
      <c r="D34" s="7">
        <v>10.5</v>
      </c>
      <c r="E34" s="7">
        <f>+6.8</f>
        <v>6.8</v>
      </c>
    </row>
    <row r="35">
      <c r="A35" s="8" t="s">
        <v>133</v>
      </c>
      <c r="B35" s="5" t="s">
        <v>46</v>
      </c>
      <c r="C35" s="9">
        <v>0.692</v>
      </c>
      <c r="D35" s="7">
        <v>10.1</v>
      </c>
      <c r="E35" s="7">
        <f>+8.3</f>
        <v>8.3</v>
      </c>
    </row>
    <row r="36">
      <c r="A36" s="8" t="s">
        <v>134</v>
      </c>
      <c r="B36" s="5" t="s">
        <v>46</v>
      </c>
      <c r="C36" s="9">
        <v>0.692</v>
      </c>
      <c r="D36" s="7">
        <v>11.6</v>
      </c>
      <c r="E36" s="7">
        <f>+1</f>
        <v>1</v>
      </c>
    </row>
    <row r="37">
      <c r="A37" s="8" t="s">
        <v>115</v>
      </c>
      <c r="B37" s="5" t="s">
        <v>49</v>
      </c>
      <c r="C37" s="9">
        <v>0.667</v>
      </c>
      <c r="D37" s="7">
        <v>5.9</v>
      </c>
      <c r="E37" s="7">
        <v>-0.3</v>
      </c>
    </row>
    <row r="38">
      <c r="A38" s="8" t="s">
        <v>123</v>
      </c>
      <c r="B38" s="5" t="s">
        <v>224</v>
      </c>
      <c r="C38" s="9">
        <v>0.643</v>
      </c>
      <c r="D38" s="7">
        <v>7.8</v>
      </c>
      <c r="E38" s="7">
        <f>+1.1</f>
        <v>1.1</v>
      </c>
    </row>
    <row r="39">
      <c r="A39" s="8" t="s">
        <v>48</v>
      </c>
      <c r="B39" s="5" t="s">
        <v>69</v>
      </c>
      <c r="C39" s="9">
        <v>0.615</v>
      </c>
      <c r="D39" s="7">
        <v>-0.6</v>
      </c>
      <c r="E39" s="7">
        <f>+2.8</f>
        <v>2.8</v>
      </c>
    </row>
    <row r="40">
      <c r="A40" s="8" t="s">
        <v>50</v>
      </c>
      <c r="B40" s="5" t="s">
        <v>69</v>
      </c>
      <c r="C40" s="9">
        <v>0.615</v>
      </c>
      <c r="D40" s="7">
        <v>3.7</v>
      </c>
      <c r="E40" s="7">
        <v>-0.4</v>
      </c>
    </row>
    <row r="41">
      <c r="A41" s="8" t="s">
        <v>53</v>
      </c>
      <c r="B41" s="5" t="s">
        <v>69</v>
      </c>
      <c r="C41" s="9">
        <v>0.615</v>
      </c>
      <c r="D41" s="7">
        <v>-1.0</v>
      </c>
      <c r="E41" s="7">
        <v>-5.0</v>
      </c>
    </row>
    <row r="42">
      <c r="A42" s="8" t="s">
        <v>20</v>
      </c>
      <c r="B42" s="5" t="s">
        <v>69</v>
      </c>
      <c r="C42" s="9">
        <v>0.615</v>
      </c>
      <c r="D42" s="7">
        <v>6.1</v>
      </c>
      <c r="E42" s="7">
        <f>+2.2</f>
        <v>2.2</v>
      </c>
    </row>
    <row r="43">
      <c r="A43" s="8" t="s">
        <v>124</v>
      </c>
      <c r="B43" s="5" t="s">
        <v>69</v>
      </c>
      <c r="C43" s="9">
        <v>0.615</v>
      </c>
      <c r="D43" s="7">
        <v>8.5</v>
      </c>
      <c r="E43" s="7">
        <v>-1.7</v>
      </c>
    </row>
    <row r="44">
      <c r="A44" s="8" t="s">
        <v>56</v>
      </c>
      <c r="B44" s="5" t="s">
        <v>69</v>
      </c>
      <c r="C44" s="9">
        <v>0.615</v>
      </c>
      <c r="D44" s="7">
        <v>11.9</v>
      </c>
      <c r="E44" s="7">
        <f>+1.3</f>
        <v>1.3</v>
      </c>
    </row>
    <row r="45">
      <c r="A45" s="8" t="s">
        <v>10</v>
      </c>
      <c r="B45" s="5" t="s">
        <v>69</v>
      </c>
      <c r="C45" s="9">
        <v>0.615</v>
      </c>
      <c r="D45" s="7">
        <v>2.2</v>
      </c>
      <c r="E45" s="7">
        <v>-2.5</v>
      </c>
    </row>
    <row r="46">
      <c r="A46" s="8" t="s">
        <v>37</v>
      </c>
      <c r="B46" s="5" t="s">
        <v>69</v>
      </c>
      <c r="C46" s="9">
        <v>0.615</v>
      </c>
      <c r="D46" s="7">
        <v>4.1</v>
      </c>
      <c r="E46" s="7">
        <f>+0.2</f>
        <v>0.2</v>
      </c>
    </row>
    <row r="47">
      <c r="A47" s="8" t="s">
        <v>79</v>
      </c>
      <c r="B47" s="5" t="s">
        <v>69</v>
      </c>
      <c r="C47" s="9">
        <v>0.615</v>
      </c>
      <c r="D47" s="7">
        <v>7.3</v>
      </c>
      <c r="E47" s="7">
        <f>+2.1</f>
        <v>2.1</v>
      </c>
    </row>
    <row r="48">
      <c r="A48" s="8" t="s">
        <v>68</v>
      </c>
      <c r="B48" s="5" t="s">
        <v>69</v>
      </c>
      <c r="C48" s="9">
        <v>0.615</v>
      </c>
      <c r="D48" s="7">
        <v>3.8</v>
      </c>
      <c r="E48" s="7">
        <v>-1.0</v>
      </c>
    </row>
    <row r="49">
      <c r="A49" s="8" t="s">
        <v>41</v>
      </c>
      <c r="B49" s="5" t="s">
        <v>69</v>
      </c>
      <c r="C49" s="9">
        <v>0.615</v>
      </c>
      <c r="D49" s="7">
        <v>4.3</v>
      </c>
      <c r="E49" s="7">
        <v>-2.3</v>
      </c>
    </row>
    <row r="50">
      <c r="A50" s="8" t="s">
        <v>132</v>
      </c>
      <c r="B50" s="5" t="s">
        <v>69</v>
      </c>
      <c r="C50" s="9">
        <v>0.615</v>
      </c>
      <c r="D50" s="7">
        <v>2.1</v>
      </c>
      <c r="E50" s="7">
        <v>-0.2</v>
      </c>
    </row>
    <row r="51">
      <c r="A51" s="8" t="s">
        <v>66</v>
      </c>
      <c r="B51" s="5" t="s">
        <v>69</v>
      </c>
      <c r="C51" s="9">
        <v>0.615</v>
      </c>
      <c r="D51" s="7">
        <v>7.3</v>
      </c>
      <c r="E51" s="7">
        <f>+1.5</f>
        <v>1.5</v>
      </c>
    </row>
    <row r="52">
      <c r="A52" s="8" t="s">
        <v>43</v>
      </c>
      <c r="B52" s="5" t="s">
        <v>69</v>
      </c>
      <c r="C52" s="9">
        <v>0.615</v>
      </c>
      <c r="D52" s="7">
        <v>4.4</v>
      </c>
      <c r="E52" s="7">
        <f>+0.8</f>
        <v>0.8</v>
      </c>
    </row>
    <row r="53">
      <c r="A53" s="8" t="s">
        <v>147</v>
      </c>
      <c r="B53" s="5" t="s">
        <v>69</v>
      </c>
      <c r="C53" s="9">
        <v>0.615</v>
      </c>
      <c r="D53" s="7">
        <v>2.8</v>
      </c>
      <c r="E53" s="7">
        <f>+0.5</f>
        <v>0.5</v>
      </c>
    </row>
    <row r="54">
      <c r="A54" s="8" t="s">
        <v>89</v>
      </c>
      <c r="B54" s="5" t="s">
        <v>88</v>
      </c>
      <c r="C54" s="9">
        <v>0.539</v>
      </c>
      <c r="D54" s="7">
        <v>-2.6</v>
      </c>
      <c r="E54" s="7">
        <v>-2.5</v>
      </c>
    </row>
    <row r="55">
      <c r="A55" s="8" t="s">
        <v>33</v>
      </c>
      <c r="B55" s="5" t="s">
        <v>88</v>
      </c>
      <c r="C55" s="9">
        <v>0.539</v>
      </c>
      <c r="D55" s="7">
        <v>-2.5</v>
      </c>
      <c r="E55" s="7">
        <v>-7.1</v>
      </c>
    </row>
    <row r="56">
      <c r="A56" s="8" t="s">
        <v>91</v>
      </c>
      <c r="B56" s="5" t="s">
        <v>88</v>
      </c>
      <c r="C56" s="9">
        <v>0.539</v>
      </c>
      <c r="D56" s="7">
        <v>0.8</v>
      </c>
      <c r="E56" s="7">
        <v>-3.5</v>
      </c>
    </row>
    <row r="57">
      <c r="A57" s="8" t="s">
        <v>55</v>
      </c>
      <c r="B57" s="5" t="s">
        <v>88</v>
      </c>
      <c r="C57" s="9">
        <v>0.539</v>
      </c>
      <c r="D57" s="7">
        <v>9.1</v>
      </c>
      <c r="E57" s="7">
        <f>+6.4</f>
        <v>6.4</v>
      </c>
    </row>
    <row r="58">
      <c r="A58" s="8" t="s">
        <v>92</v>
      </c>
      <c r="B58" s="5" t="s">
        <v>88</v>
      </c>
      <c r="C58" s="9">
        <v>0.539</v>
      </c>
      <c r="D58" s="7">
        <v>4.5</v>
      </c>
      <c r="E58" s="7">
        <f>+3</f>
        <v>3</v>
      </c>
    </row>
    <row r="59">
      <c r="A59" s="8" t="s">
        <v>113</v>
      </c>
      <c r="B59" s="5" t="s">
        <v>88</v>
      </c>
      <c r="C59" s="9">
        <v>0.539</v>
      </c>
      <c r="D59" s="7">
        <v>0.7</v>
      </c>
      <c r="E59" s="7">
        <v>-1.4</v>
      </c>
    </row>
    <row r="60">
      <c r="A60" s="8" t="s">
        <v>85</v>
      </c>
      <c r="B60" s="5" t="s">
        <v>88</v>
      </c>
      <c r="C60" s="9">
        <v>0.539</v>
      </c>
      <c r="D60" s="7">
        <v>2.3</v>
      </c>
      <c r="E60" s="7">
        <f>+2.2</f>
        <v>2.2</v>
      </c>
    </row>
    <row r="61">
      <c r="A61" s="8" t="s">
        <v>62</v>
      </c>
      <c r="B61" s="5" t="s">
        <v>88</v>
      </c>
      <c r="C61" s="9">
        <v>0.539</v>
      </c>
      <c r="D61" s="7">
        <v>7.0</v>
      </c>
      <c r="E61" s="7">
        <f>+5.7</f>
        <v>5.7</v>
      </c>
    </row>
    <row r="62">
      <c r="A62" s="8" t="s">
        <v>19</v>
      </c>
      <c r="B62" s="5" t="s">
        <v>88</v>
      </c>
      <c r="C62" s="9">
        <v>0.539</v>
      </c>
      <c r="D62" s="7">
        <v>4.5</v>
      </c>
      <c r="E62" s="7">
        <f>+2.8</f>
        <v>2.8</v>
      </c>
    </row>
    <row r="63">
      <c r="A63" s="8" t="s">
        <v>63</v>
      </c>
      <c r="B63" s="5" t="s">
        <v>88</v>
      </c>
      <c r="C63" s="9">
        <v>0.539</v>
      </c>
      <c r="D63" s="7">
        <v>-7.5</v>
      </c>
      <c r="E63" s="7">
        <v>-3.8</v>
      </c>
    </row>
    <row r="64">
      <c r="A64" s="8" t="s">
        <v>40</v>
      </c>
      <c r="B64" s="5" t="s">
        <v>88</v>
      </c>
      <c r="C64" s="9">
        <v>0.539</v>
      </c>
      <c r="D64" s="7">
        <v>5.5</v>
      </c>
      <c r="E64" s="7">
        <v>-1.2</v>
      </c>
    </row>
    <row r="65">
      <c r="A65" s="8" t="s">
        <v>25</v>
      </c>
      <c r="B65" s="5" t="s">
        <v>88</v>
      </c>
      <c r="C65" s="9">
        <v>0.539</v>
      </c>
      <c r="D65" s="7">
        <v>5.6</v>
      </c>
      <c r="E65" s="7">
        <v>-2.9</v>
      </c>
    </row>
    <row r="66">
      <c r="A66" s="8" t="s">
        <v>154</v>
      </c>
      <c r="B66" s="5" t="s">
        <v>88</v>
      </c>
      <c r="C66" s="9">
        <v>0.539</v>
      </c>
      <c r="D66" s="7">
        <v>-1.1</v>
      </c>
      <c r="E66" s="7">
        <v>-1.3</v>
      </c>
    </row>
    <row r="67">
      <c r="A67" s="8" t="s">
        <v>83</v>
      </c>
      <c r="B67" s="5" t="s">
        <v>88</v>
      </c>
      <c r="C67" s="9">
        <v>0.539</v>
      </c>
      <c r="D67" s="7">
        <v>1.5</v>
      </c>
      <c r="E67" s="7">
        <f>+3.7</f>
        <v>3.7</v>
      </c>
    </row>
    <row r="68">
      <c r="A68" s="8" t="s">
        <v>45</v>
      </c>
      <c r="B68" s="5" t="s">
        <v>90</v>
      </c>
      <c r="C68" s="9">
        <v>0.5</v>
      </c>
      <c r="D68" s="7">
        <v>8.5</v>
      </c>
      <c r="E68" s="7">
        <f>+8.4</f>
        <v>8.4</v>
      </c>
    </row>
    <row r="69">
      <c r="A69" s="8" t="s">
        <v>51</v>
      </c>
      <c r="B69" s="5" t="s">
        <v>347</v>
      </c>
      <c r="C69" s="9">
        <v>0.5</v>
      </c>
      <c r="D69" s="7">
        <v>0.1</v>
      </c>
      <c r="E69" s="7">
        <v>-4.0</v>
      </c>
    </row>
    <row r="70">
      <c r="A70" s="8" t="s">
        <v>64</v>
      </c>
      <c r="B70" s="5" t="s">
        <v>90</v>
      </c>
      <c r="C70" s="9">
        <v>0.5</v>
      </c>
      <c r="D70" s="7">
        <v>7.3</v>
      </c>
      <c r="E70" s="7">
        <f>+2.6</f>
        <v>2.6</v>
      </c>
    </row>
    <row r="71">
      <c r="A71" s="8" t="s">
        <v>148</v>
      </c>
      <c r="B71" s="5" t="s">
        <v>261</v>
      </c>
      <c r="C71" s="9">
        <v>0.462</v>
      </c>
      <c r="D71" s="7">
        <v>-1.5</v>
      </c>
      <c r="E71" s="7">
        <v>-2.0</v>
      </c>
    </row>
    <row r="72">
      <c r="A72" s="8" t="s">
        <v>7</v>
      </c>
      <c r="B72" s="5" t="s">
        <v>261</v>
      </c>
      <c r="C72" s="9">
        <v>0.462</v>
      </c>
      <c r="D72" s="7">
        <v>10.0</v>
      </c>
      <c r="E72" s="7">
        <f>+0.8</f>
        <v>0.8</v>
      </c>
    </row>
    <row r="73">
      <c r="A73" s="8" t="s">
        <v>109</v>
      </c>
      <c r="B73" s="5" t="s">
        <v>261</v>
      </c>
      <c r="C73" s="9">
        <v>0.462</v>
      </c>
      <c r="D73" s="7">
        <v>2.8</v>
      </c>
      <c r="E73" s="7">
        <v>-2.5</v>
      </c>
    </row>
    <row r="74">
      <c r="A74" s="8" t="s">
        <v>54</v>
      </c>
      <c r="B74" s="5" t="s">
        <v>261</v>
      </c>
      <c r="C74" s="9">
        <v>0.462</v>
      </c>
      <c r="D74" s="7">
        <v>1.9</v>
      </c>
      <c r="E74" s="7">
        <f>+2</f>
        <v>2</v>
      </c>
    </row>
    <row r="75">
      <c r="A75" s="8" t="s">
        <v>59</v>
      </c>
      <c r="B75" s="5" t="s">
        <v>261</v>
      </c>
      <c r="C75" s="9">
        <v>0.462</v>
      </c>
      <c r="D75" s="7">
        <v>-7.2</v>
      </c>
      <c r="E75" s="7">
        <v>-4.3</v>
      </c>
    </row>
    <row r="76">
      <c r="A76" s="8" t="s">
        <v>144</v>
      </c>
      <c r="B76" s="5" t="s">
        <v>261</v>
      </c>
      <c r="C76" s="9">
        <v>0.462</v>
      </c>
      <c r="D76" s="7">
        <v>-1.6</v>
      </c>
      <c r="E76" s="7">
        <v>-5.7</v>
      </c>
    </row>
    <row r="77">
      <c r="A77" s="8" t="s">
        <v>81</v>
      </c>
      <c r="B77" s="5" t="s">
        <v>261</v>
      </c>
      <c r="C77" s="9">
        <v>0.462</v>
      </c>
      <c r="D77" s="7">
        <v>5.2</v>
      </c>
      <c r="E77" s="7">
        <v>-2.5</v>
      </c>
    </row>
    <row r="78">
      <c r="A78" s="8" t="s">
        <v>42</v>
      </c>
      <c r="B78" s="5" t="s">
        <v>261</v>
      </c>
      <c r="C78" s="9">
        <v>0.462</v>
      </c>
      <c r="D78" s="7">
        <v>0.8</v>
      </c>
      <c r="E78" s="7">
        <v>-4.0</v>
      </c>
    </row>
    <row r="79">
      <c r="A79" s="8" t="s">
        <v>105</v>
      </c>
      <c r="B79" s="5" t="s">
        <v>103</v>
      </c>
      <c r="C79" s="9">
        <v>0.417</v>
      </c>
      <c r="D79" s="7">
        <v>-7.9</v>
      </c>
      <c r="E79" s="7">
        <v>-3.6</v>
      </c>
    </row>
    <row r="80">
      <c r="A80" s="8" t="s">
        <v>107</v>
      </c>
      <c r="B80" s="5" t="s">
        <v>103</v>
      </c>
      <c r="C80" s="9">
        <v>0.417</v>
      </c>
      <c r="D80" s="7">
        <v>-1.6</v>
      </c>
      <c r="E80" s="7">
        <v>-2.5</v>
      </c>
    </row>
    <row r="81">
      <c r="A81" s="8" t="s">
        <v>74</v>
      </c>
      <c r="B81" s="5" t="s">
        <v>103</v>
      </c>
      <c r="C81" s="9">
        <v>0.417</v>
      </c>
      <c r="D81" s="7">
        <v>-3.9</v>
      </c>
      <c r="E81" s="7">
        <f>+1.8</f>
        <v>1.8</v>
      </c>
    </row>
    <row r="82">
      <c r="A82" s="8" t="s">
        <v>5</v>
      </c>
      <c r="B82" s="5" t="s">
        <v>103</v>
      </c>
      <c r="C82" s="9">
        <v>0.417</v>
      </c>
      <c r="D82" s="7">
        <v>-6.8</v>
      </c>
      <c r="E82" s="7">
        <v>-4.4</v>
      </c>
    </row>
    <row r="83">
      <c r="A83" s="8" t="s">
        <v>57</v>
      </c>
      <c r="B83" s="5" t="s">
        <v>103</v>
      </c>
      <c r="C83" s="9">
        <v>0.417</v>
      </c>
      <c r="D83" s="7">
        <v>-7.2</v>
      </c>
      <c r="E83" s="7">
        <v>-1.6</v>
      </c>
    </row>
    <row r="84">
      <c r="A84" s="8" t="s">
        <v>142</v>
      </c>
      <c r="B84" s="5" t="s">
        <v>103</v>
      </c>
      <c r="C84" s="9">
        <v>0.417</v>
      </c>
      <c r="D84" s="7">
        <v>-6.6</v>
      </c>
      <c r="E84" s="7">
        <v>-3.0</v>
      </c>
    </row>
    <row r="85">
      <c r="A85" s="8" t="s">
        <v>35</v>
      </c>
      <c r="B85" s="5" t="s">
        <v>103</v>
      </c>
      <c r="C85" s="9">
        <v>0.417</v>
      </c>
      <c r="D85" s="7">
        <v>0.1</v>
      </c>
      <c r="E85" s="7">
        <v>-9.0</v>
      </c>
    </row>
    <row r="86">
      <c r="A86" s="8" t="s">
        <v>36</v>
      </c>
      <c r="B86" s="5" t="s">
        <v>103</v>
      </c>
      <c r="C86" s="9">
        <v>0.417</v>
      </c>
      <c r="D86" s="7">
        <v>5.5</v>
      </c>
      <c r="E86" s="7">
        <v>-1.5</v>
      </c>
    </row>
    <row r="87">
      <c r="A87" s="8" t="s">
        <v>143</v>
      </c>
      <c r="B87" s="5" t="s">
        <v>103</v>
      </c>
      <c r="C87" s="9">
        <v>0.417</v>
      </c>
      <c r="D87" s="7">
        <v>-11.6</v>
      </c>
      <c r="E87" s="7">
        <v>-1.3</v>
      </c>
    </row>
    <row r="88">
      <c r="A88" s="8" t="s">
        <v>80</v>
      </c>
      <c r="B88" s="5" t="s">
        <v>103</v>
      </c>
      <c r="C88" s="9">
        <v>0.417</v>
      </c>
      <c r="D88" s="7">
        <v>3.3</v>
      </c>
      <c r="E88" s="7">
        <v>-0.5</v>
      </c>
    </row>
    <row r="89">
      <c r="A89" s="8" t="s">
        <v>153</v>
      </c>
      <c r="B89" s="5" t="s">
        <v>103</v>
      </c>
      <c r="C89" s="9">
        <v>0.417</v>
      </c>
      <c r="D89" s="7">
        <v>-2.4</v>
      </c>
      <c r="E89" s="7">
        <v>-0.7</v>
      </c>
    </row>
    <row r="90">
      <c r="A90" s="8" t="s">
        <v>120</v>
      </c>
      <c r="B90" s="5" t="s">
        <v>119</v>
      </c>
      <c r="C90" s="9">
        <v>0.333</v>
      </c>
      <c r="D90" s="7">
        <v>-8.4</v>
      </c>
      <c r="E90" s="7">
        <v>-6.0</v>
      </c>
    </row>
    <row r="91">
      <c r="A91" s="8" t="s">
        <v>108</v>
      </c>
      <c r="B91" s="5" t="s">
        <v>119</v>
      </c>
      <c r="C91" s="9">
        <v>0.333</v>
      </c>
      <c r="D91" s="7">
        <v>-9.8</v>
      </c>
      <c r="E91" s="7">
        <f>+1.4</f>
        <v>1.4</v>
      </c>
    </row>
    <row r="92">
      <c r="A92" s="8" t="s">
        <v>12</v>
      </c>
      <c r="B92" s="5" t="s">
        <v>119</v>
      </c>
      <c r="C92" s="9">
        <v>0.333</v>
      </c>
      <c r="D92" s="7">
        <v>-4.6</v>
      </c>
      <c r="E92" s="7">
        <v>-8.0</v>
      </c>
    </row>
    <row r="93">
      <c r="A93" s="8" t="s">
        <v>151</v>
      </c>
      <c r="B93" s="5" t="s">
        <v>119</v>
      </c>
      <c r="C93" s="9">
        <v>0.333</v>
      </c>
      <c r="D93" s="7">
        <v>-9.1</v>
      </c>
      <c r="E93" s="7">
        <v>-5.2</v>
      </c>
    </row>
    <row r="94">
      <c r="A94" s="8" t="s">
        <v>127</v>
      </c>
      <c r="B94" s="5" t="s">
        <v>119</v>
      </c>
      <c r="C94" s="9">
        <v>0.333</v>
      </c>
      <c r="D94" s="7">
        <v>-5.3</v>
      </c>
      <c r="E94" s="7">
        <v>-3.6</v>
      </c>
    </row>
    <row r="95">
      <c r="A95" s="8" t="s">
        <v>78</v>
      </c>
      <c r="B95" s="5" t="s">
        <v>119</v>
      </c>
      <c r="C95" s="9">
        <v>0.333</v>
      </c>
      <c r="D95" s="7">
        <v>-0.9</v>
      </c>
      <c r="E95" s="7">
        <v>-6.5</v>
      </c>
    </row>
    <row r="96">
      <c r="A96" s="8" t="s">
        <v>16</v>
      </c>
      <c r="B96" s="5" t="s">
        <v>119</v>
      </c>
      <c r="C96" s="9">
        <v>0.333</v>
      </c>
      <c r="D96" s="7">
        <v>-12.3</v>
      </c>
      <c r="E96" s="7">
        <v>-2.2</v>
      </c>
    </row>
    <row r="97">
      <c r="A97" s="8" t="s">
        <v>94</v>
      </c>
      <c r="B97" s="5" t="s">
        <v>119</v>
      </c>
      <c r="C97" s="9">
        <v>0.333</v>
      </c>
      <c r="D97" s="7">
        <v>-11.8</v>
      </c>
      <c r="E97" s="7">
        <v>-6.3</v>
      </c>
    </row>
    <row r="98">
      <c r="A98" s="8" t="s">
        <v>95</v>
      </c>
      <c r="B98" s="5" t="s">
        <v>119</v>
      </c>
      <c r="C98" s="9">
        <v>0.333</v>
      </c>
      <c r="D98" s="7">
        <v>-0.8</v>
      </c>
      <c r="E98" s="7">
        <f>+3.5</f>
        <v>3.5</v>
      </c>
    </row>
    <row r="99">
      <c r="A99" s="8" t="s">
        <v>145</v>
      </c>
      <c r="B99" s="5" t="s">
        <v>119</v>
      </c>
      <c r="C99" s="9">
        <v>0.333</v>
      </c>
      <c r="D99" s="7">
        <v>-10.2</v>
      </c>
      <c r="E99" s="7">
        <v>-4.4</v>
      </c>
    </row>
    <row r="100">
      <c r="A100" s="8" t="s">
        <v>31</v>
      </c>
      <c r="B100" s="5" t="s">
        <v>119</v>
      </c>
      <c r="C100" s="9">
        <v>0.333</v>
      </c>
      <c r="D100" s="7">
        <v>-2.9</v>
      </c>
      <c r="E100" s="7">
        <v>-1.5</v>
      </c>
    </row>
    <row r="101">
      <c r="A101" s="8" t="s">
        <v>116</v>
      </c>
      <c r="B101" s="5" t="s">
        <v>119</v>
      </c>
      <c r="C101" s="9">
        <v>0.333</v>
      </c>
      <c r="D101" s="7">
        <v>-5.7</v>
      </c>
      <c r="E101" s="7">
        <v>-6.4</v>
      </c>
    </row>
    <row r="102">
      <c r="A102" s="8" t="s">
        <v>135</v>
      </c>
      <c r="B102" s="5" t="s">
        <v>119</v>
      </c>
      <c r="C102" s="9">
        <v>0.333</v>
      </c>
      <c r="D102" s="7">
        <v>-12.4</v>
      </c>
      <c r="E102" s="7">
        <v>-5.6</v>
      </c>
    </row>
    <row r="103">
      <c r="A103" s="8" t="s">
        <v>72</v>
      </c>
      <c r="B103" s="5" t="s">
        <v>139</v>
      </c>
      <c r="C103" s="9">
        <v>0.25</v>
      </c>
      <c r="D103" s="7">
        <v>-1.6</v>
      </c>
      <c r="E103" s="7">
        <v>-3.9</v>
      </c>
    </row>
    <row r="104">
      <c r="A104" s="8" t="s">
        <v>76</v>
      </c>
      <c r="B104" s="5" t="s">
        <v>139</v>
      </c>
      <c r="C104" s="9">
        <v>0.25</v>
      </c>
      <c r="D104" s="7">
        <v>-9.8</v>
      </c>
      <c r="E104" s="7">
        <v>-1.2</v>
      </c>
    </row>
    <row r="105">
      <c r="A105" s="8" t="s">
        <v>112</v>
      </c>
      <c r="B105" s="5" t="s">
        <v>139</v>
      </c>
      <c r="C105" s="9">
        <v>0.25</v>
      </c>
      <c r="D105" s="7">
        <v>-17.3</v>
      </c>
      <c r="E105" s="7">
        <v>-9.0</v>
      </c>
    </row>
    <row r="106">
      <c r="A106" s="8" t="s">
        <v>93</v>
      </c>
      <c r="B106" s="5" t="s">
        <v>139</v>
      </c>
      <c r="C106" s="9">
        <v>0.25</v>
      </c>
      <c r="D106" s="7">
        <v>-14.7</v>
      </c>
      <c r="E106" s="7">
        <v>-2.4</v>
      </c>
    </row>
    <row r="107">
      <c r="A107" s="8" t="s">
        <v>18</v>
      </c>
      <c r="B107" s="5" t="s">
        <v>139</v>
      </c>
      <c r="C107" s="9">
        <v>0.25</v>
      </c>
      <c r="D107" s="7">
        <v>-5.8</v>
      </c>
      <c r="E107" s="7">
        <f>+1</f>
        <v>1</v>
      </c>
    </row>
    <row r="108">
      <c r="A108" s="8" t="s">
        <v>152</v>
      </c>
      <c r="B108" s="5" t="s">
        <v>139</v>
      </c>
      <c r="C108" s="9">
        <v>0.25</v>
      </c>
      <c r="D108" s="7">
        <v>-18.2</v>
      </c>
      <c r="E108" s="7">
        <v>-6.0</v>
      </c>
    </row>
    <row r="109">
      <c r="A109" s="8" t="s">
        <v>130</v>
      </c>
      <c r="B109" s="5" t="s">
        <v>139</v>
      </c>
      <c r="C109" s="9">
        <v>0.25</v>
      </c>
      <c r="D109" s="7">
        <v>-11.2</v>
      </c>
      <c r="E109" s="7">
        <v>-2.1</v>
      </c>
    </row>
    <row r="110">
      <c r="A110" s="8" t="s">
        <v>65</v>
      </c>
      <c r="B110" s="5" t="s">
        <v>139</v>
      </c>
      <c r="C110" s="9">
        <v>0.25</v>
      </c>
      <c r="D110" s="7">
        <v>-13.1</v>
      </c>
      <c r="E110" s="7">
        <v>-7.2</v>
      </c>
    </row>
    <row r="111">
      <c r="A111" s="8" t="s">
        <v>70</v>
      </c>
      <c r="B111" s="5" t="s">
        <v>139</v>
      </c>
      <c r="C111" s="9">
        <v>0.25</v>
      </c>
      <c r="D111" s="7">
        <v>-10.2</v>
      </c>
      <c r="E111" s="7">
        <v>-1.3</v>
      </c>
    </row>
    <row r="112">
      <c r="A112" s="8" t="s">
        <v>118</v>
      </c>
      <c r="B112" s="5" t="s">
        <v>149</v>
      </c>
      <c r="C112" s="9">
        <v>0.167</v>
      </c>
      <c r="D112" s="7">
        <v>-24.9</v>
      </c>
      <c r="E112" s="7">
        <v>-7.1</v>
      </c>
    </row>
    <row r="113">
      <c r="A113" s="8" t="s">
        <v>121</v>
      </c>
      <c r="B113" s="5" t="s">
        <v>149</v>
      </c>
      <c r="C113" s="9">
        <v>0.167</v>
      </c>
      <c r="D113" s="7">
        <v>-12.3</v>
      </c>
      <c r="E113" s="7">
        <v>-2.3</v>
      </c>
    </row>
    <row r="114">
      <c r="A114" s="8" t="s">
        <v>104</v>
      </c>
      <c r="B114" s="5" t="s">
        <v>149</v>
      </c>
      <c r="C114" s="9">
        <v>0.167</v>
      </c>
      <c r="D114" s="7">
        <v>-13.7</v>
      </c>
      <c r="E114" s="7">
        <v>-8.9</v>
      </c>
    </row>
    <row r="115">
      <c r="A115" s="8" t="s">
        <v>22</v>
      </c>
      <c r="B115" s="5" t="s">
        <v>149</v>
      </c>
      <c r="C115" s="9">
        <v>0.167</v>
      </c>
      <c r="D115" s="7">
        <v>-14.3</v>
      </c>
      <c r="E115" s="7">
        <v>-7.0</v>
      </c>
    </row>
    <row r="116">
      <c r="A116" s="8" t="s">
        <v>128</v>
      </c>
      <c r="B116" s="5" t="s">
        <v>149</v>
      </c>
      <c r="C116" s="9">
        <v>0.167</v>
      </c>
      <c r="D116" s="7">
        <v>-23.8</v>
      </c>
      <c r="E116" s="7">
        <v>-3.1</v>
      </c>
    </row>
    <row r="117">
      <c r="A117" s="8" t="s">
        <v>96</v>
      </c>
      <c r="B117" s="5" t="s">
        <v>149</v>
      </c>
      <c r="C117" s="9">
        <v>0.167</v>
      </c>
      <c r="D117" s="7">
        <v>-16.3</v>
      </c>
      <c r="E117" s="7">
        <f>+3.2</f>
        <v>3.2</v>
      </c>
    </row>
    <row r="118">
      <c r="A118" s="8" t="s">
        <v>67</v>
      </c>
      <c r="B118" s="5" t="s">
        <v>149</v>
      </c>
      <c r="C118" s="9">
        <v>0.167</v>
      </c>
      <c r="D118" s="7">
        <v>-10.3</v>
      </c>
      <c r="E118" s="7">
        <f>+1.5</f>
        <v>1.5</v>
      </c>
    </row>
    <row r="119">
      <c r="A119" s="8" t="s">
        <v>30</v>
      </c>
      <c r="B119" s="5" t="s">
        <v>396</v>
      </c>
      <c r="C119" s="9">
        <v>0.154</v>
      </c>
      <c r="D119" s="7">
        <v>-21.3</v>
      </c>
      <c r="E119" s="7">
        <v>-4.4</v>
      </c>
    </row>
    <row r="120">
      <c r="A120" s="8" t="s">
        <v>102</v>
      </c>
      <c r="B120" s="5" t="s">
        <v>157</v>
      </c>
      <c r="C120" s="9">
        <v>0.083</v>
      </c>
      <c r="D120" s="7">
        <v>-19.5</v>
      </c>
      <c r="E120" s="7">
        <v>-7.5</v>
      </c>
    </row>
    <row r="121">
      <c r="A121" s="8" t="s">
        <v>61</v>
      </c>
      <c r="B121" s="5" t="s">
        <v>157</v>
      </c>
      <c r="C121" s="9">
        <v>0.083</v>
      </c>
      <c r="D121" s="7">
        <v>-25.4</v>
      </c>
      <c r="E121" s="7">
        <v>-9.9</v>
      </c>
    </row>
    <row r="122">
      <c r="A122" s="8" t="s">
        <v>38</v>
      </c>
      <c r="B122" s="5" t="s">
        <v>157</v>
      </c>
      <c r="C122" s="9">
        <v>0.083</v>
      </c>
      <c r="D122" s="7">
        <v>-28.5</v>
      </c>
      <c r="E122" s="7">
        <v>-6.4</v>
      </c>
    </row>
    <row r="123">
      <c r="A123" s="8" t="s">
        <v>141</v>
      </c>
      <c r="B123" s="5" t="s">
        <v>409</v>
      </c>
      <c r="C123" s="9">
        <v>0.077</v>
      </c>
      <c r="D123" s="7">
        <v>-18.6</v>
      </c>
      <c r="E123" s="7">
        <v>-0.8</v>
      </c>
    </row>
    <row r="124">
      <c r="A124" s="8" t="s">
        <v>160</v>
      </c>
      <c r="B124" s="5" t="s">
        <v>338</v>
      </c>
      <c r="C124" s="9">
        <v>0.0</v>
      </c>
      <c r="D124" s="7">
        <v>-5.0</v>
      </c>
      <c r="E124" s="7">
        <f>+24.5</f>
        <v>24.5</v>
      </c>
    </row>
    <row r="125">
      <c r="A125" s="8" t="s">
        <v>117</v>
      </c>
      <c r="B125" s="5" t="s">
        <v>338</v>
      </c>
      <c r="C125" s="9">
        <v>0.0</v>
      </c>
      <c r="D125" s="7">
        <v>-38.0</v>
      </c>
      <c r="E125" s="7">
        <v>-15.0</v>
      </c>
    </row>
    <row r="126">
      <c r="A126" s="8" t="s">
        <v>98</v>
      </c>
      <c r="B126" s="5" t="s">
        <v>338</v>
      </c>
      <c r="C126" s="9">
        <v>0.0</v>
      </c>
      <c r="D126" s="7">
        <v>-40.0</v>
      </c>
      <c r="E126" s="7">
        <f>+3.5</f>
        <v>3.5</v>
      </c>
    </row>
    <row r="127">
      <c r="A127" s="8" t="s">
        <v>99</v>
      </c>
      <c r="B127" s="5" t="s">
        <v>338</v>
      </c>
      <c r="C127" s="9">
        <v>0.0</v>
      </c>
      <c r="D127" s="7">
        <v>-6.0</v>
      </c>
      <c r="E127" s="7">
        <f>+23.5</f>
        <v>23.5</v>
      </c>
    </row>
    <row r="128">
      <c r="A128" s="8" t="s">
        <v>155</v>
      </c>
      <c r="B128" s="5" t="s">
        <v>338</v>
      </c>
      <c r="C128" s="9">
        <v>0.0</v>
      </c>
      <c r="D128" s="7">
        <v>-31.0</v>
      </c>
      <c r="E128" s="7">
        <f>+8.5</f>
        <v>8.5</v>
      </c>
    </row>
    <row r="129">
      <c r="A129" s="8" t="s">
        <v>100</v>
      </c>
      <c r="B129" s="5" t="s">
        <v>338</v>
      </c>
      <c r="C129" s="9">
        <v>0.0</v>
      </c>
      <c r="D129" s="7">
        <v>-31.0</v>
      </c>
      <c r="E129" s="7">
        <f>+10.5</f>
        <v>10.5</v>
      </c>
    </row>
    <row r="130">
      <c r="A130" s="8" t="s">
        <v>84</v>
      </c>
      <c r="B130" s="5" t="s">
        <v>338</v>
      </c>
      <c r="C130" s="9">
        <v>0.0</v>
      </c>
      <c r="D130" s="7">
        <v>-24.0</v>
      </c>
      <c r="E130" s="7">
        <f>+3.5</f>
        <v>3.5</v>
      </c>
    </row>
    <row r="131">
      <c r="A131" s="8" t="s">
        <v>158</v>
      </c>
      <c r="B131" s="5" t="s">
        <v>338</v>
      </c>
      <c r="C131" s="9">
        <v>0.0</v>
      </c>
      <c r="D131" s="7">
        <v>-56.0</v>
      </c>
      <c r="E131" s="7">
        <v>-12.0</v>
      </c>
    </row>
    <row r="132">
      <c r="A132" s="8" t="s">
        <v>158</v>
      </c>
      <c r="B132" s="5" t="s">
        <v>338</v>
      </c>
      <c r="C132" s="9">
        <v>0.0</v>
      </c>
      <c r="D132" s="7">
        <v>-56.0</v>
      </c>
      <c r="E132" s="7">
        <v>-20.5</v>
      </c>
    </row>
    <row r="133">
      <c r="A133" s="8" t="s">
        <v>137</v>
      </c>
      <c r="B133" s="5" t="s">
        <v>401</v>
      </c>
      <c r="C133" s="9">
        <v>0.0</v>
      </c>
      <c r="D133" s="7">
        <v>-15.0</v>
      </c>
      <c r="E133" s="7">
        <f>+2.5</f>
        <v>2.5</v>
      </c>
    </row>
    <row r="134">
      <c r="A134" s="8" t="s">
        <v>84</v>
      </c>
      <c r="B134" s="5" t="s">
        <v>338</v>
      </c>
      <c r="C134" s="9">
        <v>0.0</v>
      </c>
      <c r="D134" s="7">
        <v>-14.0</v>
      </c>
      <c r="E134" s="7">
        <f>+10</f>
        <v>10</v>
      </c>
    </row>
    <row r="135">
      <c r="A135" s="8" t="s">
        <v>158</v>
      </c>
      <c r="B135" s="5" t="s">
        <v>161</v>
      </c>
      <c r="C135" s="9">
        <v>0.0</v>
      </c>
      <c r="D135" s="7">
        <v>-17.9</v>
      </c>
      <c r="E135" s="4">
        <f>+1.9</f>
        <v>1.9</v>
      </c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</hyperlinks>
  <drawing r:id="rId135"/>
</worksheet>
</file>